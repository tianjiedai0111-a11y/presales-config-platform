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Height="17775" activeTab="1"/>
  </bookViews>
  <sheets>
    <sheet name="售前选配单" sheetId="1" r:id="rId1"/>
    <sheet name="配置数据库" sheetId="2" r:id="rId2"/>
    <sheet name="对接设备" sheetId="3" r:id="rId3"/>
    <sheet name="英文翻译" sheetId="4" r:id="rId4"/>
  </sheets>
  <definedNames>
    <definedName name="_xlnm._FilterDatabase" localSheetId="0" hidden="1">售前选配单!$A$8:$D$113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8AC8D239D6D744E489CA5FA086DB109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18335" y="5403215"/>
          <a:ext cx="1751965" cy="14503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C2F230443A18475AB3F0BC6E14580AE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06905" y="4676775"/>
          <a:ext cx="3352800" cy="2047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24AC769FE6B3490B9FC8DE83FECC29C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84045" y="5958840"/>
          <a:ext cx="21202650" cy="4276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4BA5DE40EF5F4EC2A84356925BE7A6DA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29130" y="12488545"/>
          <a:ext cx="2847975" cy="1247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9FE32722ACE54A6C9CC322B16673B71A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563850" y="3250565"/>
          <a:ext cx="3567430" cy="6927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EDDB27B358224EE78DB0403E99B582F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936075" y="2990850"/>
          <a:ext cx="6124575" cy="5105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ED49FC9FE0214E829D32A15260115240"/>
        <xdr:cNvPicPr>
          <a:picLocks noChangeAspect="1"/>
        </xdr:cNvPicPr>
      </xdr:nvPicPr>
      <xdr:blipFill>
        <a:blip r:embed="rId6" r:link="rId7"/>
        <a:stretch>
          <a:fillRect/>
        </a:stretch>
      </xdr:blipFill>
      <xdr:spPr>
        <a:xfrm>
          <a:off x="2257425" y="676275"/>
          <a:ext cx="2419350" cy="177165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9" name="ID_E75436E6FE2F4609A3B6AEEDA01C988E"/>
        <xdr:cNvPicPr>
          <a:picLocks noChangeAspect="1"/>
        </xdr:cNvPicPr>
      </xdr:nvPicPr>
      <xdr:blipFill>
        <a:blip r:embed="rId8" r:link="rId7"/>
        <a:stretch>
          <a:fillRect/>
        </a:stretch>
      </xdr:blipFill>
      <xdr:spPr>
        <a:xfrm>
          <a:off x="2343150" y="2590800"/>
          <a:ext cx="2419350" cy="177165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0" name="ID_16F310F9E89A4DAEBF4063534FAAF598"/>
        <xdr:cNvPicPr>
          <a:picLocks noChangeAspect="1"/>
        </xdr:cNvPicPr>
      </xdr:nvPicPr>
      <xdr:blipFill>
        <a:blip r:embed="rId9" r:link="rId7"/>
        <a:stretch>
          <a:fillRect/>
        </a:stretch>
      </xdr:blipFill>
      <xdr:spPr>
        <a:xfrm>
          <a:off x="2171700" y="5252085"/>
          <a:ext cx="2677160" cy="103124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1" name="ID_80D18D0AA4004C0A8D507BA4329F1F6B"/>
        <xdr:cNvPicPr>
          <a:picLocks noChangeAspect="1"/>
        </xdr:cNvPicPr>
      </xdr:nvPicPr>
      <xdr:blipFill>
        <a:blip r:embed="rId10" r:link="rId7"/>
        <a:stretch>
          <a:fillRect/>
        </a:stretch>
      </xdr:blipFill>
      <xdr:spPr>
        <a:xfrm>
          <a:off x="2200275" y="6394450"/>
          <a:ext cx="2286000" cy="1333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3" name="ID_0B1CA24BE551446293648E582DD1849C"/>
        <xdr:cNvPicPr>
          <a:picLocks noChangeAspect="1"/>
        </xdr:cNvPicPr>
      </xdr:nvPicPr>
      <xdr:blipFill>
        <a:blip r:embed="rId11" r:link="rId7"/>
        <a:stretch>
          <a:fillRect/>
        </a:stretch>
      </xdr:blipFill>
      <xdr:spPr>
        <a:xfrm>
          <a:off x="2286000" y="7781925"/>
          <a:ext cx="3448050" cy="348615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4" name="ID_AA709F6C426643FFA52F84A14115EEAE"/>
        <xdr:cNvPicPr>
          <a:picLocks noChangeAspect="1"/>
        </xdr:cNvPicPr>
      </xdr:nvPicPr>
      <xdr:blipFill>
        <a:blip r:embed="rId12" r:link="rId7"/>
        <a:stretch>
          <a:fillRect/>
        </a:stretch>
      </xdr:blipFill>
      <xdr:spPr>
        <a:xfrm>
          <a:off x="2124075" y="10787380"/>
          <a:ext cx="5524500" cy="14478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5" name="ID_566D0A2D484D4052B68F9A960018F198"/>
        <xdr:cNvPicPr>
          <a:picLocks noChangeAspect="1"/>
        </xdr:cNvPicPr>
      </xdr:nvPicPr>
      <xdr:blipFill>
        <a:blip r:embed="rId13" r:link="rId7"/>
        <a:stretch>
          <a:fillRect/>
        </a:stretch>
      </xdr:blipFill>
      <xdr:spPr>
        <a:xfrm>
          <a:off x="2171700" y="11637010"/>
          <a:ext cx="6724650" cy="501015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<sst xmlns="http://schemas.openxmlformats.org/spreadsheetml/2006/main" count="4883" uniqueCount="1127">
  <si>
    <t>车型售前选配模板</t>
  </si>
  <si>
    <t>车型版本</t>
  </si>
  <si>
    <t>Apex 2000-G CE</t>
  </si>
  <si>
    <t>项目名称</t>
  </si>
  <si>
    <t/>
  </si>
  <si>
    <t>商机号</t>
  </si>
  <si>
    <t>车型数量</t>
  </si>
  <si>
    <t>发货时间</t>
  </si>
  <si>
    <t>使用说明</t>
  </si>
  <si>
    <t>配置项、默认值、展示分区和下拉选项均在“配置数据库”维护；黄色单元格为售前可填写/覆盖项。</t>
  </si>
  <si>
    <t>配置项</t>
  </si>
  <si>
    <t>配置/需求</t>
  </si>
  <si>
    <t>属性</t>
  </si>
  <si>
    <t>备注</t>
  </si>
  <si>
    <t>售前填写区</t>
  </si>
  <si>
    <t>铁箱</t>
  </si>
  <si>
    <t xml:space="preserve">  </t>
  </si>
  <si>
    <t>默认配置展示区</t>
  </si>
  <si>
    <t>项目基本信息</t>
  </si>
  <si>
    <t>配图</t>
  </si>
  <si>
    <t>展示分区</t>
  </si>
  <si>
    <t>输入类型</t>
  </si>
  <si>
    <t>是否必填</t>
  </si>
  <si>
    <t>售前填写</t>
  </si>
  <si>
    <t>文字输入框</t>
  </si>
  <si>
    <t>是</t>
  </si>
  <si>
    <t>车型</t>
  </si>
  <si>
    <t>售前</t>
  </si>
  <si>
    <t>售前配置项</t>
  </si>
  <si>
    <t>Apex 1400-L CE</t>
  </si>
  <si>
    <t>Apex 1400-L NCE</t>
  </si>
  <si>
    <t>Apex C1500-L（举升4.5m）CE</t>
  </si>
  <si>
    <t>Apex C1500-L（举升4.5m）NCE</t>
  </si>
  <si>
    <t>Apex C1500-L（举升3m）CE</t>
  </si>
  <si>
    <t>Apex C1500-L（举升3m）NCE</t>
  </si>
  <si>
    <t>Apex 2000-G NCE</t>
  </si>
  <si>
    <t>Apex R2000-L Mini</t>
  </si>
  <si>
    <t>Lynx U1000 NCE</t>
  </si>
  <si>
    <t>Lynx O1500 NCE</t>
  </si>
  <si>
    <t>Lynx O1500 CE</t>
  </si>
  <si>
    <t>Flex 300-L NCE</t>
  </si>
  <si>
    <t>Flex 300-LS NCE</t>
  </si>
  <si>
    <t>Flex 300-SCB NCE</t>
  </si>
  <si>
    <t>Flex 300-L CE</t>
  </si>
  <si>
    <t>Flex 300-LS CE</t>
  </si>
  <si>
    <t>Flex 300-SCB CE</t>
  </si>
  <si>
    <t>Flex 600-L NCE</t>
  </si>
  <si>
    <t>Flex 600-LS NCE</t>
  </si>
  <si>
    <t>Flex 600-SCB NCE</t>
  </si>
  <si>
    <t>Flex 600-L CE</t>
  </si>
  <si>
    <t>Flex 600-LS CE</t>
  </si>
  <si>
    <t>Flex 600-SCB CE</t>
  </si>
  <si>
    <t>Max 1500-L CE</t>
  </si>
  <si>
    <t>Max 1500-L NCE</t>
  </si>
  <si>
    <t>Max O2500-L NCE</t>
  </si>
  <si>
    <t>Max 2000-L CE</t>
  </si>
  <si>
    <t>Bom输出时间</t>
  </si>
  <si>
    <t>默认配置</t>
  </si>
  <si>
    <t>不可修改，仅展示</t>
  </si>
  <si>
    <t>否</t>
  </si>
  <si>
    <t>该时间为研发针对该车型输出Bom的时间，PMC可根据此信息进行生产计划排期</t>
  </si>
  <si>
    <t>蓝点灯</t>
  </si>
  <si>
    <t>下拉选择</t>
  </si>
  <si>
    <t>用于车前三米行进方向展示</t>
  </si>
  <si>
    <t>不需要；需要</t>
  </si>
  <si>
    <t>货叉外宽要求（mm）</t>
  </si>
  <si>
    <t>叉齿外宽及内测间距需满足距托盘中间或外侧立柱≥20mm，此部分可提前同硬件部门进行确认后填写</t>
  </si>
  <si>
    <t>680/560</t>
  </si>
  <si>
    <t>680/560/460
可定制＞680，但载重能力会下降
Customizable above 680, but load capacity will be reduced.</t>
  </si>
  <si>
    <t>560/660</t>
  </si>
  <si>
    <t>250-750</t>
  </si>
  <si>
    <t>货叉长度要求（mm）</t>
  </si>
  <si>
    <t>此部分可提前同硬件部门进行确认后填写</t>
  </si>
  <si>
    <t>举升高度要求（mm）</t>
  </si>
  <si>
    <t>1600-3500</t>
  </si>
  <si>
    <t>4600-8500</t>
  </si>
  <si>
    <t>防过载传感器</t>
  </si>
  <si>
    <t>标配</t>
  </si>
  <si>
    <t>横移</t>
  </si>
  <si>
    <t>Apex C1500-L若选配会降载，请提前确认载荷曲线及降载信息</t>
  </si>
  <si>
    <t>不需要；±50；±100</t>
  </si>
  <si>
    <t>不需要；±50</t>
  </si>
  <si>
    <t>叉尺间距可调</t>
  </si>
  <si>
    <t>不需要；400mm-800mm；400mm-1000mm；440mm-1300mm</t>
  </si>
  <si>
    <t>不需要；需要（能力范围待补充）</t>
  </si>
  <si>
    <t>叉齿俯仰</t>
  </si>
  <si>
    <t>不需要；需要（+4°-0°）</t>
  </si>
  <si>
    <t>条形码读码器</t>
  </si>
  <si>
    <t>可读取托盘上货物的二维码/条形码，具体尺寸需求请与研发确认可行性后选配</t>
  </si>
  <si>
    <t>5G要求</t>
  </si>
  <si>
    <t>如现场对网络有特殊需求的场景</t>
  </si>
  <si>
    <t>下视二维码相机</t>
  </si>
  <si>
    <t>对接相机：高精度对接料架、托盘等，此相机不支持二维码导航
导航相机：需要二维码导航的场景</t>
  </si>
  <si>
    <t>不需要；对接相机；导航相机</t>
  </si>
  <si>
    <t>标配对接相机；选配导航相机</t>
  </si>
  <si>
    <t>RGBD相机</t>
  </si>
  <si>
    <t>立体障碍物感知</t>
  </si>
  <si>
    <t>标配2个</t>
  </si>
  <si>
    <t>不需要；需要（2个）</t>
  </si>
  <si>
    <t>不需要；需要（2个，前后各一个）</t>
  </si>
  <si>
    <t>上视二维码相机</t>
  </si>
  <si>
    <t>读取料架底部的二维码，进行对接二次对准</t>
  </si>
  <si>
    <t>不需要；定制开发（如定制，相机不在几何中心)</t>
  </si>
  <si>
    <t>遥控器</t>
  </si>
  <si>
    <t>遥控手柄，用于AME遥控</t>
  </si>
  <si>
    <t>不需要；需要（若现场无PDA则必须选择遥控器）</t>
  </si>
  <si>
    <t>屏幕下方多线雷达</t>
  </si>
  <si>
    <t>用于LS系列产品空间避障</t>
  </si>
  <si>
    <t>不需要；需要（livox+蓝色U型灯）</t>
  </si>
  <si>
    <t>称重称</t>
  </si>
  <si>
    <t>需定制开发，精度选型需咨询硬件部部门</t>
  </si>
  <si>
    <t>不需要；需要定制开发</t>
  </si>
  <si>
    <t>RFID（扫描货物）</t>
  </si>
  <si>
    <t>现场货物已配备RFID芯片，并需要对商品进行严格校验的场景</t>
  </si>
  <si>
    <t>托盘驼峰</t>
  </si>
  <si>
    <t>用于AMR对接欧洲托盘时固定托盘，避免托盘在AMR运行过程中滑落或偏移。</t>
  </si>
  <si>
    <t>打印机</t>
  </si>
  <si>
    <t>打印单据</t>
  </si>
  <si>
    <t>牵引机构</t>
  </si>
  <si>
    <t>一个</t>
  </si>
  <si>
    <t>前；后；前后各一个</t>
  </si>
  <si>
    <t>车体颜色</t>
  </si>
  <si>
    <t>如需定制车体颜色，需写清劳尔或潘通色号，并联系TJ进行渲染后同客户确认</t>
  </si>
  <si>
    <t>灵动标准色</t>
  </si>
  <si>
    <t>包装方式</t>
  </si>
  <si>
    <t>若为POC、展会或需二次运输场景需要选择铁箱；若非以上场景，可选择木箱</t>
  </si>
  <si>
    <t>木箱；铁箱</t>
  </si>
  <si>
    <t>附加要求</t>
  </si>
  <si>
    <t>其他定制需求请描述，且定制需求需要提前同研发沟通确认后进行描述</t>
  </si>
  <si>
    <t>风琴罩</t>
  </si>
  <si>
    <t>防止顶升机构夹手</t>
  </si>
  <si>
    <t>需要；不需要</t>
  </si>
  <si>
    <t>用电相关</t>
  </si>
  <si>
    <t>现场电压</t>
  </si>
  <si>
    <t>电源插座接口图片</t>
  </si>
  <si>
    <t>附件上传</t>
  </si>
  <si>
    <t>请附图片</t>
  </si>
  <si>
    <t>电源插头型号</t>
  </si>
  <si>
    <t>充电极板</t>
  </si>
  <si>
    <t>侧充</t>
  </si>
  <si>
    <t>地充</t>
  </si>
  <si>
    <t>正充</t>
  </si>
  <si>
    <t>侧充；地充</t>
  </si>
  <si>
    <t>托盘</t>
  </si>
  <si>
    <t>托盘类型</t>
  </si>
  <si>
    <t>GMA；川字；其他</t>
  </si>
  <si>
    <t>设备图片</t>
  </si>
  <si>
    <t>L 托盘长度(mm)</t>
  </si>
  <si>
    <t>W 托盘宽度（对接侧）(mm)</t>
  </si>
  <si>
    <t>H 托盘高度(mm)</t>
  </si>
  <si>
    <t>叉取方向两侧立柱宽-W1(mm)</t>
  </si>
  <si>
    <t>叉取方向中间立柱宽-W2(mm)</t>
  </si>
  <si>
    <t>F 托盘下横梁高度</t>
  </si>
  <si>
    <t xml:space="preserve">Apex 2000-G：≤20mm
</t>
  </si>
  <si>
    <t>G 托盘下横梁高度</t>
  </si>
  <si>
    <t xml:space="preserve">Apex 2000-G：100mm ≤ G ≤ 150mm;G&gt;150mm 时需定制加高叉齿
</t>
  </si>
  <si>
    <t>N GMA托盘避让孔后沿距边缘</t>
  </si>
  <si>
    <t xml:space="preserve">仅Apex 2000-G车型需填写此项，需≤870mm
</t>
  </si>
  <si>
    <t>O GMA托盘避让孔前沿距边缘</t>
  </si>
  <si>
    <t xml:space="preserve">仅Apex 2000-G车型需填写此项，需≥1040mm
</t>
  </si>
  <si>
    <t>料架</t>
  </si>
  <si>
    <t>料架类型</t>
  </si>
  <si>
    <t>叉车料架；背负料架；牵引料架</t>
  </si>
  <si>
    <t>驶入方向边长-W(mm)</t>
  </si>
  <si>
    <t>驶入方向支腿间距-S1(mm)</t>
  </si>
  <si>
    <t>驶入方向支腿边长-W1(mm)</t>
  </si>
  <si>
    <t>离地高度-H2(mm)</t>
  </si>
  <si>
    <t>非驶入方向边长-L(mm)</t>
  </si>
  <si>
    <t>非驶入方向支腿间距-S2(mm)</t>
  </si>
  <si>
    <t>非驶入方向支腿边长-W2(mm)</t>
  </si>
  <si>
    <t>工控</t>
  </si>
  <si>
    <t>40051410014 自研三代（wifi 模块外置）</t>
  </si>
  <si>
    <t>电机</t>
  </si>
  <si>
    <t>米玛车体</t>
  </si>
  <si>
    <t>瑞博特</t>
  </si>
  <si>
    <t>和利时750W</t>
  </si>
  <si>
    <t>和利时（磁编）</t>
  </si>
  <si>
    <t>步科双编码抱闸400W</t>
  </si>
  <si>
    <t>步科1:9减速机一体机</t>
  </si>
  <si>
    <t>步科1:9减速机一体机 双编码带抱闸</t>
  </si>
  <si>
    <t>和利时</t>
  </si>
  <si>
    <t>步科</t>
  </si>
  <si>
    <t>步科1Kw双编码带抱闸电机</t>
  </si>
  <si>
    <t>步科1Kw电机</t>
  </si>
  <si>
    <t>和利时电机</t>
  </si>
  <si>
    <t>驱动器</t>
  </si>
  <si>
    <t>电池</t>
  </si>
  <si>
    <t>如无特殊需求，默认按照加热版本输出</t>
  </si>
  <si>
    <t>40051210007 电池 24210-200200 国轩GXFB-24210-100200-A0-CE</t>
  </si>
  <si>
    <t>40051210015 MFV前移叉车电池 国轩 48V315Ah</t>
  </si>
  <si>
    <t>GXFB-4830B-6060-A0</t>
  </si>
  <si>
    <t>GXFB-4840A-6080-A0</t>
  </si>
  <si>
    <t>GXFB-4842-2060-A0</t>
  </si>
  <si>
    <t>无线</t>
  </si>
  <si>
    <t>wifi6</t>
  </si>
  <si>
    <t>wifi 6</t>
  </si>
  <si>
    <t>前雷达</t>
  </si>
  <si>
    <t>万集719</t>
  </si>
  <si>
    <t>40051700001 科力KLMs安全激光雷达 KLMs-0327PE</t>
  </si>
  <si>
    <t>20040710103 20040710103 蓝海LDS-50C-E</t>
  </si>
  <si>
    <t>20040710103 蓝海LDS-50C-E</t>
  </si>
  <si>
    <t>40051700001 科力KLMs安全激光雷达 KLMs-0327PEUAM-05LP-T301
科力安全雷达</t>
  </si>
  <si>
    <t>后雷达</t>
  </si>
  <si>
    <t>X</t>
  </si>
  <si>
    <t>左雷达</t>
  </si>
  <si>
    <t>40051700019 蓝海E200</t>
  </si>
  <si>
    <t>/</t>
  </si>
  <si>
    <t>右雷达</t>
  </si>
  <si>
    <t>前居中雷达</t>
  </si>
  <si>
    <t>左前雷达</t>
  </si>
  <si>
    <t>科力10m</t>
  </si>
  <si>
    <t>科力10M</t>
  </si>
  <si>
    <t>蓝海50C-E</t>
  </si>
  <si>
    <t>右前雷达</t>
  </si>
  <si>
    <t>左后雷达</t>
  </si>
  <si>
    <t>右后雷达</t>
  </si>
  <si>
    <t>门架居中后下方雷达（横放）</t>
  </si>
  <si>
    <t>1，40051700021 横放40051700019 蓝海E200</t>
  </si>
  <si>
    <t>叉齿端头雷达</t>
  </si>
  <si>
    <t>2，40051700021 40051700019 蓝海E200</t>
  </si>
  <si>
    <t>叉齿中间货物高度检测雷达</t>
  </si>
  <si>
    <t>1，40051700021 竖放40051700019 蓝海E200</t>
  </si>
  <si>
    <t>叉齿中间下方货物检测雷达</t>
  </si>
  <si>
    <t>1，40060000347  览沃Mid-360S</t>
  </si>
  <si>
    <t>其他雷达</t>
  </si>
  <si>
    <t>安全PLC</t>
  </si>
  <si>
    <t>40052310131 科力 SPC-MC1284ALEC</t>
  </si>
  <si>
    <t>防撞条</t>
  </si>
  <si>
    <t>有</t>
  </si>
  <si>
    <t>前一个</t>
  </si>
  <si>
    <t>前后各一个</t>
  </si>
  <si>
    <t>2，前后</t>
  </si>
  <si>
    <t>2，（前后）</t>
  </si>
  <si>
    <t>2</t>
  </si>
  <si>
    <t>拉绳编码器</t>
  </si>
  <si>
    <t>托非，量程3m</t>
  </si>
  <si>
    <t>5m</t>
  </si>
  <si>
    <t>布瑞特（R20同款-新换的那个）</t>
  </si>
  <si>
    <t>TSA模组</t>
  </si>
  <si>
    <t>有（40060000347  览沃Mid-360S *2；40051800008 翰普 001-0691-3.0+oks-6604 调备注焦距：60厘米*3）</t>
  </si>
  <si>
    <t>有（40060000347  览沃Mid-360S *2；40051800008 翰普 001-0691-3.0+oks-6604 调备注焦距：60厘米 *4）</t>
  </si>
  <si>
    <t>有（40060000347  览沃Mid-360S *2；40051800008 翰普 001-0691-3.0+oks-6604 调备注焦距：60厘米 *3）</t>
  </si>
  <si>
    <t>远程运维相机</t>
  </si>
  <si>
    <t>TSA*3（上述已包含） + 门架中间*1（40000010003 翰普相机 翰普相机-USB接口-03.0691.0381-视角FOV ：D= 120°）</t>
  </si>
  <si>
    <t>TSA*4（上述已包含） + 门架中间*1（40000010003 翰普相机 翰普相机-USB接口-03.0691.0381-视角FOV ：D= 120°）</t>
  </si>
  <si>
    <t>货物相对检测相机</t>
  </si>
  <si>
    <t xml:space="preserve">40000010003 翰普相机 翰普相机-USB接口-03.0691.0381-视角FOV ：D= 120° </t>
  </si>
  <si>
    <t>托盘到位检测开关</t>
  </si>
  <si>
    <t>托盘高位检测开关</t>
  </si>
  <si>
    <t>叉齿尖传感器（非雷达）</t>
  </si>
  <si>
    <t>机械式</t>
  </si>
  <si>
    <t>2，机械式
2颗蓝海雷达</t>
  </si>
  <si>
    <t>2光电，一边一个</t>
  </si>
  <si>
    <t>屏幕</t>
  </si>
  <si>
    <t>400210245-01 10.1寸安卓一体机</t>
  </si>
  <si>
    <t>5寸组态屏</t>
  </si>
  <si>
    <t>400210245-01 10.1寸安卓一体机+5寸组态屏</t>
  </si>
  <si>
    <t>7寸组态屏</t>
  </si>
  <si>
    <t>红色示廓灯</t>
  </si>
  <si>
    <t>红色3个</t>
  </si>
  <si>
    <t>有，侧边</t>
  </si>
  <si>
    <t>有、侧充</t>
  </si>
  <si>
    <t>1</t>
  </si>
  <si>
    <t>有(前方侧充/横移充电-地充)</t>
  </si>
  <si>
    <t>急停按钮</t>
  </si>
  <si>
    <t>2个</t>
  </si>
  <si>
    <t>3（底盘*2+上装*1）</t>
  </si>
  <si>
    <t>3个</t>
  </si>
  <si>
    <t>释放按钮</t>
  </si>
  <si>
    <t>1个</t>
  </si>
  <si>
    <t>手自动切换按钮</t>
  </si>
  <si>
    <t>紧急救援按钮</t>
  </si>
  <si>
    <t>空开</t>
  </si>
  <si>
    <t>待确定</t>
  </si>
  <si>
    <t>固定扫码器</t>
  </si>
  <si>
    <t>标配1个</t>
  </si>
  <si>
    <t>手持扫码枪</t>
  </si>
  <si>
    <t>手持扫码枪：1</t>
  </si>
  <si>
    <t>语音播报器</t>
  </si>
  <si>
    <t>艾吉威</t>
  </si>
  <si>
    <t>1艾吉威（新款）</t>
  </si>
  <si>
    <t>1，降本版</t>
  </si>
  <si>
    <t>1，艾吉威</t>
  </si>
  <si>
    <t>1个，艾吉威</t>
  </si>
  <si>
    <t>1个艾吉威</t>
  </si>
  <si>
    <t>一字行车灯</t>
  </si>
  <si>
    <t>1，前(红色)</t>
  </si>
  <si>
    <t>1，前红色</t>
  </si>
  <si>
    <t>编码器类型（光编/磁编）</t>
  </si>
  <si>
    <t>磁编</t>
  </si>
  <si>
    <t>双编码器</t>
  </si>
  <si>
    <t>双编</t>
  </si>
  <si>
    <t>减速机减速比</t>
  </si>
  <si>
    <t>1:24</t>
  </si>
  <si>
    <t>1：34</t>
  </si>
  <si>
    <t>1：9</t>
  </si>
  <si>
    <t>1:15</t>
  </si>
  <si>
    <t>1:9</t>
  </si>
  <si>
    <t>1:21</t>
  </si>
  <si>
    <t>1:30</t>
  </si>
  <si>
    <t>无线网卡</t>
  </si>
  <si>
    <t>WIFI6</t>
  </si>
  <si>
    <t>M892E2</t>
  </si>
  <si>
    <t>WIFI6网卡</t>
  </si>
  <si>
    <t>鱼眼相机</t>
  </si>
  <si>
    <t>有，一个</t>
  </si>
  <si>
    <t>有，前后各一个</t>
  </si>
  <si>
    <t>电源按钮</t>
  </si>
  <si>
    <t>牵引棒升降按钮</t>
  </si>
  <si>
    <t>紧急救援口</t>
  </si>
  <si>
    <t>解抱闸按钮</t>
  </si>
  <si>
    <t>顶升电机</t>
  </si>
  <si>
    <t>液压</t>
  </si>
  <si>
    <t>顶升驱动</t>
  </si>
  <si>
    <t>Marker相机</t>
  </si>
  <si>
    <t>有，左右各一个</t>
  </si>
  <si>
    <t>举升</t>
  </si>
  <si>
    <t>类型</t>
  </si>
  <si>
    <t>子类型</t>
  </si>
  <si>
    <t>子类型翻译</t>
  </si>
  <si>
    <t>案例图片</t>
  </si>
  <si>
    <t>填写项1</t>
  </si>
  <si>
    <t>填写项2</t>
  </si>
  <si>
    <t>填写项3</t>
  </si>
  <si>
    <t>填写项4</t>
  </si>
  <si>
    <t>填写项5</t>
  </si>
  <si>
    <t>填写项6-7配图</t>
  </si>
  <si>
    <t>填写项6</t>
  </si>
  <si>
    <t>填写项7</t>
  </si>
  <si>
    <t>填写项8-9配图</t>
  </si>
  <si>
    <t>填写项8</t>
  </si>
  <si>
    <t>填写项9</t>
  </si>
  <si>
    <t>填写项10</t>
  </si>
  <si>
    <t>填写项11</t>
  </si>
  <si>
    <t>川字托盘</t>
  </si>
  <si>
    <t>Euro Pallet</t>
  </si>
  <si>
    <t>叉取⽅向边⻓-W(mm)</t>
  </si>
  <si>
    <t>⾮叉取⽅向边⻓-L(mm)</t>
  </si>
  <si>
    <t>高-H(mm)</t>
  </si>
  <si>
    <t>田字托盘</t>
  </si>
  <si>
    <t>Closed Pallet</t>
  </si>
  <si>
    <t>支腿托盘</t>
  </si>
  <si>
    <t>Leg Pallet</t>
  </si>
  <si>
    <t>叉取方向边长-W(mm)</t>
  </si>
  <si>
    <t>叉取方向支腿间距-S1(mm)</t>
  </si>
  <si>
    <t>非叉取方向支腿间距-S2(mm)</t>
  </si>
  <si>
    <t>叉取方向支腿边长-W1(mm)</t>
  </si>
  <si>
    <t>非叉取方向支腿边长-W2(mm)</t>
  </si>
  <si>
    <t>支腿料箱</t>
  </si>
  <si>
    <t>Leg Box</t>
  </si>
  <si>
    <t>托盘料箱</t>
  </si>
  <si>
    <t>Pallet Box</t>
  </si>
  <si>
    <t>背负料架</t>
  </si>
  <si>
    <t>Lifting Rack</t>
  </si>
  <si>
    <t>潜伏牵引料架</t>
  </si>
  <si>
    <t>Tow Rack ( Underneath )</t>
  </si>
  <si>
    <t>宽边边长-W(mm)</t>
  </si>
  <si>
    <t>长边边长-L(mm)</t>
  </si>
  <si>
    <t>宽边支腿间距-S1(mm)</t>
  </si>
  <si>
    <t>长边支腿间距-S2(mm)</t>
  </si>
  <si>
    <t>宽边支腿边长-W1(mm)</t>
  </si>
  <si>
    <t>长边支腿边长-W2(mm)</t>
  </si>
  <si>
    <t>高-H1(mm)</t>
  </si>
  <si>
    <t>中文原文</t>
  </si>
  <si>
    <t>English Translation</t>
  </si>
  <si>
    <t>说明</t>
  </si>
  <si>
    <t>No</t>
  </si>
  <si>
    <t>自动提取：字段/备注/选项/配置内容，可维护</t>
  </si>
  <si>
    <t>无</t>
  </si>
  <si>
    <t>Yes</t>
  </si>
  <si>
    <t>1 pc</t>
  </si>
  <si>
    <t>Lift</t>
  </si>
  <si>
    <t>Side Charging</t>
  </si>
  <si>
    <t>光编</t>
  </si>
  <si>
    <t>Optical Encoder</t>
  </si>
  <si>
    <t>其他</t>
  </si>
  <si>
    <t>Other</t>
  </si>
  <si>
    <t>内容</t>
  </si>
  <si>
    <t>Content</t>
  </si>
  <si>
    <t>参数</t>
  </si>
  <si>
    <t>parameters</t>
  </si>
  <si>
    <t>叉车</t>
  </si>
  <si>
    <t>forklift</t>
  </si>
  <si>
    <t>Dual Encoder</t>
  </si>
  <si>
    <t>Presales Owner</t>
  </si>
  <si>
    <t>Floor Charging</t>
  </si>
  <si>
    <t>填写</t>
  </si>
  <si>
    <t>Enter</t>
  </si>
  <si>
    <t>Notes</t>
  </si>
  <si>
    <t>尺寸</t>
  </si>
  <si>
    <t>dimensions</t>
  </si>
  <si>
    <t>Display</t>
  </si>
  <si>
    <t>Attribute</t>
  </si>
  <si>
    <t>川字</t>
  </si>
  <si>
    <t>Open deck</t>
  </si>
  <si>
    <t>Industrial PC</t>
  </si>
  <si>
    <t>必填</t>
  </si>
  <si>
    <t>Required</t>
  </si>
  <si>
    <t>Pallet</t>
  </si>
  <si>
    <t>Rack</t>
  </si>
  <si>
    <t>Wireless</t>
  </si>
  <si>
    <t>木箱</t>
  </si>
  <si>
    <t>Wooden Crate</t>
  </si>
  <si>
    <t>Standard</t>
  </si>
  <si>
    <t>Side Shift</t>
  </si>
  <si>
    <t>Front Charging</t>
  </si>
  <si>
    <t>Kinco</t>
  </si>
  <si>
    <t>Hydraulic</t>
  </si>
  <si>
    <t>现场</t>
  </si>
  <si>
    <t>site</t>
  </si>
  <si>
    <t>Motor</t>
  </si>
  <si>
    <t>Battery</t>
  </si>
  <si>
    <t>相机</t>
  </si>
  <si>
    <t>Camera</t>
  </si>
  <si>
    <t>Magnetic Encoder</t>
  </si>
  <si>
    <t>Circuit Breaker</t>
  </si>
  <si>
    <t>Type</t>
  </si>
  <si>
    <t>红色</t>
  </si>
  <si>
    <t>Red</t>
  </si>
  <si>
    <t>自研</t>
  </si>
  <si>
    <t>In-house</t>
  </si>
  <si>
    <t>蓝海</t>
  </si>
  <si>
    <t>Leishen</t>
  </si>
  <si>
    <t>蓝色</t>
  </si>
  <si>
    <t>Blue</t>
  </si>
  <si>
    <t>Model</t>
  </si>
  <si>
    <t>选配</t>
  </si>
  <si>
    <t>Optional</t>
  </si>
  <si>
    <t>Reference Image</t>
  </si>
  <si>
    <t>Steel Crate</t>
  </si>
  <si>
    <t>需要</t>
  </si>
  <si>
    <t>黄色</t>
  </si>
  <si>
    <t>Yellow</t>
  </si>
  <si>
    <t>1，前</t>
  </si>
  <si>
    <t>1, front</t>
  </si>
  <si>
    <t>一字灯</t>
  </si>
  <si>
    <t>Linear Clearance Light</t>
  </si>
  <si>
    <t>不需要</t>
  </si>
  <si>
    <t>Not Required</t>
  </si>
  <si>
    <t>Front 1 pc</t>
  </si>
  <si>
    <t>Front LiDAR</t>
  </si>
  <si>
    <t>Right LiDAR</t>
  </si>
  <si>
    <t>Rear LiDAR</t>
  </si>
  <si>
    <t>HollySys</t>
  </si>
  <si>
    <t>Opportunity ID</t>
  </si>
  <si>
    <t>基恩士</t>
  </si>
  <si>
    <t>Keyence</t>
  </si>
  <si>
    <t>Subtype</t>
  </si>
  <si>
    <t>Left LiDAR</t>
  </si>
  <si>
    <t>布瑞特</t>
  </si>
  <si>
    <t>Briter</t>
  </si>
  <si>
    <t>康仕达</t>
  </si>
  <si>
    <t>Constar</t>
  </si>
  <si>
    <t>TBD</t>
  </si>
  <si>
    <t>惠恩士</t>
  </si>
  <si>
    <t>Printer</t>
  </si>
  <si>
    <t>Mechanical</t>
  </si>
  <si>
    <t>灵动灰</t>
  </si>
  <si>
    <t>ForwardX Gray</t>
  </si>
  <si>
    <t>灵动白</t>
  </si>
  <si>
    <t>ForwardX White</t>
  </si>
  <si>
    <t>Robot</t>
  </si>
  <si>
    <t>Weighing scale</t>
  </si>
  <si>
    <t>AGVWAY</t>
  </si>
  <si>
    <t>Blue Spot Light</t>
  </si>
  <si>
    <t>Remote Controller</t>
  </si>
  <si>
    <t>Configuration Item</t>
  </si>
  <si>
    <t>Bumper Strip</t>
  </si>
  <si>
    <t>Drive Controller</t>
  </si>
  <si>
    <t>高-H</t>
  </si>
  <si>
    <t>Height - H</t>
  </si>
  <si>
    <t>2, front and rear</t>
  </si>
  <si>
    <t>5G Requirement</t>
  </si>
  <si>
    <t>Dropdown</t>
  </si>
  <si>
    <t>不可选配</t>
  </si>
  <si>
    <t>Not Configurable</t>
  </si>
  <si>
    <t>Instructions</t>
  </si>
  <si>
    <t>Charging Contacts</t>
  </si>
  <si>
    <t>Additional LiDAR</t>
  </si>
  <si>
    <t>Packaging Method</t>
  </si>
  <si>
    <t>Fork Pitch Tilt</t>
  </si>
  <si>
    <t>Shipping Date</t>
  </si>
  <si>
    <t>Front-right LiDAR</t>
  </si>
  <si>
    <t>Rear-right LiDAR</t>
  </si>
  <si>
    <t>Presales Input</t>
  </si>
  <si>
    <t>Input Field 1</t>
  </si>
  <si>
    <t>Input Field 2</t>
  </si>
  <si>
    <t>Input Field 3</t>
  </si>
  <si>
    <t>Input Field 4</t>
  </si>
  <si>
    <t>Input Field 5</t>
  </si>
  <si>
    <t>Input Field 6</t>
  </si>
  <si>
    <t>Input Field 7</t>
  </si>
  <si>
    <t>Input Field 8</t>
  </si>
  <si>
    <t>Input Field 9</t>
  </si>
  <si>
    <t>多线雷达</t>
  </si>
  <si>
    <t>Multi-line LiDAR</t>
  </si>
  <si>
    <t>客户无需</t>
  </si>
  <si>
    <t>Not Required by Customer</t>
  </si>
  <si>
    <t>对接相机</t>
  </si>
  <si>
    <t>Docking Camera</t>
  </si>
  <si>
    <t>导航相机</t>
  </si>
  <si>
    <t>Navigation Camera</t>
  </si>
  <si>
    <t>Display Section</t>
  </si>
  <si>
    <t>Open Deck Pallet</t>
  </si>
  <si>
    <t>Front-left LiDAR</t>
  </si>
  <si>
    <t>Rear-left LiDAR</t>
  </si>
  <si>
    <t>Emergency Stop Button</t>
  </si>
  <si>
    <t>Print documents</t>
  </si>
  <si>
    <t>Pallet Type</t>
  </si>
  <si>
    <t>托盘规格</t>
  </si>
  <si>
    <t>Pallet Specification</t>
  </si>
  <si>
    <t>Pallet Crown</t>
  </si>
  <si>
    <t>Legged Pallet</t>
  </si>
  <si>
    <t>Legged Bin</t>
  </si>
  <si>
    <t>Rack Type</t>
  </si>
  <si>
    <t>Wireless NIC</t>
  </si>
  <si>
    <t>Yes, 1 pc</t>
  </si>
  <si>
    <t>Yes, side-mounted</t>
  </si>
  <si>
    <t>查看配图</t>
  </si>
  <si>
    <t>View Image</t>
  </si>
  <si>
    <t>Standard, 1 pc</t>
  </si>
  <si>
    <t>Standard, 2 pcs</t>
  </si>
  <si>
    <t>牵引料架</t>
  </si>
  <si>
    <t>Tow Rack</t>
  </si>
  <si>
    <t>Tow Mechanism</t>
  </si>
  <si>
    <t>牵引电机</t>
  </si>
  <si>
    <t>Tow Motor</t>
  </si>
  <si>
    <t>特殊需求</t>
  </si>
  <si>
    <t>special requirements</t>
  </si>
  <si>
    <t>Site Voltage</t>
  </si>
  <si>
    <t>Power &amp; Charging</t>
  </si>
  <si>
    <t>Closed Deck Pallet</t>
  </si>
  <si>
    <t>Power Button</t>
  </si>
  <si>
    <t>科力安全</t>
  </si>
  <si>
    <t>Keli Safety</t>
  </si>
  <si>
    <t>Mima Chassis</t>
  </si>
  <si>
    <t>Red, 3 pcs</t>
  </si>
  <si>
    <t>翰普相机</t>
  </si>
  <si>
    <t>Hanpu Camera</t>
  </si>
  <si>
    <t>Lift Rack</t>
  </si>
  <si>
    <t>自动带出</t>
  </si>
  <si>
    <t>Auto-filled</t>
  </si>
  <si>
    <t>自研1代</t>
  </si>
  <si>
    <t>In-house Gen 1</t>
  </si>
  <si>
    <t>自研2代</t>
  </si>
  <si>
    <t>In-house Gen 2</t>
  </si>
  <si>
    <t>自研三代</t>
  </si>
  <si>
    <t>In-house Gen 3</t>
  </si>
  <si>
    <t>自研二代</t>
  </si>
  <si>
    <t>Equipment Image</t>
  </si>
  <si>
    <t>Please attach image</t>
  </si>
  <si>
    <t>Vehicle color</t>
  </si>
  <si>
    <t>Vehicle Qty</t>
  </si>
  <si>
    <t>Model Version</t>
  </si>
  <si>
    <t>车型系列</t>
  </si>
  <si>
    <t>Model Series</t>
  </si>
  <si>
    <t>载重要求</t>
  </si>
  <si>
    <t>Load Capacity Requirement</t>
  </si>
  <si>
    <t>Input Type</t>
  </si>
  <si>
    <t>Release Button</t>
  </si>
  <si>
    <t>Attachment Upload</t>
  </si>
  <si>
    <t>Additional Requirements</t>
  </si>
  <si>
    <t>Lift Motor</t>
  </si>
  <si>
    <t>Lift Drive</t>
  </si>
  <si>
    <t>Project Name</t>
  </si>
  <si>
    <t>高-H1</t>
  </si>
  <si>
    <t>Height - H1</t>
  </si>
  <si>
    <t>Fisheye Camera</t>
  </si>
  <si>
    <t>Default Configuration</t>
  </si>
  <si>
    <t>1 AGVWAY unit</t>
  </si>
  <si>
    <t>1, front red</t>
  </si>
  <si>
    <t>1, cost-optimized version</t>
  </si>
  <si>
    <t>2，机械式</t>
  </si>
  <si>
    <t>2, mechanical</t>
  </si>
  <si>
    <t>5-inch HMI display</t>
  </si>
  <si>
    <t>7-inch HMI display</t>
  </si>
  <si>
    <t>AMR车型</t>
  </si>
  <si>
    <t>AMR model</t>
  </si>
  <si>
    <t>TSA Module</t>
  </si>
  <si>
    <t>Linear Running Light</t>
  </si>
  <si>
    <t>VanJee 719</t>
  </si>
  <si>
    <t>二维码导航</t>
  </si>
  <si>
    <t>QR-code navigation</t>
  </si>
  <si>
    <t>Front and rear, 1 pc each</t>
  </si>
  <si>
    <t>Front Center LiDAR</t>
  </si>
  <si>
    <t>叉尖传感器</t>
  </si>
  <si>
    <t>Fork-tip Sensor</t>
  </si>
  <si>
    <t>后居中雷达</t>
  </si>
  <si>
    <t>Rear Center LiDAR</t>
  </si>
  <si>
    <t>Presales Input Area</t>
  </si>
  <si>
    <t>Sales Options</t>
  </si>
  <si>
    <t>Fixed scanner</t>
  </si>
  <si>
    <t>Input Field 10</t>
  </si>
  <si>
    <t>Input Field 11</t>
  </si>
  <si>
    <t>Subtype Translation</t>
  </si>
  <si>
    <t>Safety PLC</t>
  </si>
  <si>
    <t>宝莲灯模组</t>
  </si>
  <si>
    <t>Handheld scanner</t>
  </si>
  <si>
    <t>托盘子类型</t>
  </si>
  <si>
    <t>Pallet Subtype</t>
  </si>
  <si>
    <t>Draw-wire Encoder</t>
  </si>
  <si>
    <t>Text Input</t>
  </si>
  <si>
    <t>料架子类型</t>
  </si>
  <si>
    <t>Rack Subtype</t>
  </si>
  <si>
    <t>ForwardX Standard Color</t>
  </si>
  <si>
    <t>Keli 10M</t>
  </si>
  <si>
    <t>Keli 10m</t>
  </si>
  <si>
    <t>称重传感器</t>
  </si>
  <si>
    <t>Weighing Sensor</t>
  </si>
  <si>
    <t>Emergency rescue port</t>
  </si>
  <si>
    <t>Red Clearance Light</t>
  </si>
  <si>
    <t>编码器类型</t>
  </si>
  <si>
    <t>Encoder Type</t>
  </si>
  <si>
    <t>Brake Release Button</t>
  </si>
  <si>
    <t>Voice Announcer</t>
  </si>
  <si>
    <t>Configuration / Requirement</t>
  </si>
  <si>
    <t>高精度对接</t>
  </si>
  <si>
    <t>High-precision docking</t>
  </si>
  <si>
    <t>10寸业务屏</t>
  </si>
  <si>
    <t>10-inch operations display</t>
  </si>
  <si>
    <t>2颗蓝海雷达</t>
  </si>
  <si>
    <t>2 Leishen LiDARs</t>
  </si>
  <si>
    <t>H 托盘高度</t>
  </si>
  <si>
    <t>H: Pallet Height</t>
  </si>
  <si>
    <t>L 托盘长度</t>
  </si>
  <si>
    <t>L: Pallet Length</t>
  </si>
  <si>
    <t>RGB-D Camera</t>
  </si>
  <si>
    <t>举升高度要求</t>
  </si>
  <si>
    <t>Lift Height Requirement</t>
  </si>
  <si>
    <t>二维码读码器</t>
  </si>
  <si>
    <t>QR Code Reader</t>
  </si>
  <si>
    <t>Reducer Ratio</t>
  </si>
  <si>
    <t>北洋安全雷达</t>
  </si>
  <si>
    <t>Hokuyo Safety LiDAR</t>
  </si>
  <si>
    <t>Adjustable Fork Spacing</t>
  </si>
  <si>
    <t>叉齿中间雷达</t>
  </si>
  <si>
    <t>Fork Center LiDAR</t>
  </si>
  <si>
    <t>Fork-tip LiDAR</t>
  </si>
  <si>
    <t>宽边边长-W</t>
  </si>
  <si>
    <t>Short-side Length - W</t>
  </si>
  <si>
    <t>Barcode Reader</t>
  </si>
  <si>
    <t>标配对接相机</t>
  </si>
  <si>
    <t>Standard Docking Camera</t>
  </si>
  <si>
    <t>Under-run Tow Rack</t>
  </si>
  <si>
    <t>Power Plug Model</t>
  </si>
  <si>
    <t>相对检测相机</t>
  </si>
  <si>
    <t>Relative Positioning Camera</t>
  </si>
  <si>
    <t>科力安全雷达</t>
  </si>
  <si>
    <t>Keli Safety LiDAR</t>
  </si>
  <si>
    <t>Emergency Rescue Button</t>
  </si>
  <si>
    <t>紧急救援接口</t>
  </si>
  <si>
    <t>Emergency Rescue Port</t>
  </si>
  <si>
    <t>货叉外宽要求</t>
  </si>
  <si>
    <t>Fork Outer Width Requirement</t>
  </si>
  <si>
    <t>货叉长度要求</t>
  </si>
  <si>
    <t>Fork Length Requirement</t>
  </si>
  <si>
    <t>车头拍照相机</t>
  </si>
  <si>
    <t>Front Snapshot Camera</t>
  </si>
  <si>
    <t>车头鱼眼相机</t>
  </si>
  <si>
    <t>Front Fisheye Camera</t>
  </si>
  <si>
    <t>Remote O&amp;M Camera</t>
  </si>
  <si>
    <t>选配导航相机</t>
  </si>
  <si>
    <t>Optional Navigation Camera</t>
  </si>
  <si>
    <t>Basic Info</t>
  </si>
  <si>
    <t>Upward QR Camera</t>
  </si>
  <si>
    <t>Downward QR Camera</t>
  </si>
  <si>
    <t>屏幕（业务屏）</t>
  </si>
  <si>
    <t>Operations Display</t>
  </si>
  <si>
    <t>屏幕（组态屏）</t>
  </si>
  <si>
    <t>HMI Display</t>
  </si>
  <si>
    <t>Manual/Auto Switch</t>
  </si>
  <si>
    <t>Tow Bar Lift Button</t>
  </si>
  <si>
    <t>Leishen 50C-E</t>
  </si>
  <si>
    <t>Height - H (mm)</t>
  </si>
  <si>
    <t>Marker Camera</t>
  </si>
  <si>
    <t>Read-only</t>
  </si>
  <si>
    <t>Pallet In-position Switch</t>
  </si>
  <si>
    <t>托盘离位检测开关</t>
  </si>
  <si>
    <t>Pallet Out-of-position Switch</t>
  </si>
  <si>
    <t>Power Socket Interface Photo</t>
  </si>
  <si>
    <t>车头RGBD相机</t>
  </si>
  <si>
    <t>Front RGB-D Camera</t>
  </si>
  <si>
    <t>Height - H1 (mm)</t>
  </si>
  <si>
    <t>F: Lower Deck Board Height</t>
  </si>
  <si>
    <t>G: Lower Deck Board Height</t>
  </si>
  <si>
    <t>Short-side Length - W (mm)</t>
  </si>
  <si>
    <t>Long-side Length - L (mm)</t>
  </si>
  <si>
    <t>下视二维码相机（导航）</t>
  </si>
  <si>
    <t>Downward QR Camera (Navigation)</t>
  </si>
  <si>
    <t>Ground Clearance - H2 (mm)</t>
  </si>
  <si>
    <t>Fork-entry Side Length - W (mm)</t>
  </si>
  <si>
    <t>遥控手柄，用于AMR遥控</t>
  </si>
  <si>
    <t>Remote Controller for AMR Operation</t>
  </si>
  <si>
    <t>Drive-in Side Length - W (mm)</t>
  </si>
  <si>
    <t>Short-side Leg Width - W1 (mm)</t>
  </si>
  <si>
    <t>Short-side Leg Spacing - S1 (mm)</t>
  </si>
  <si>
    <t>Long-side Leg Width - W2 (mm)</t>
  </si>
  <si>
    <t>Long-side Leg Spacing - S2 (mm)</t>
  </si>
  <si>
    <t>非叉取方向边长-L(mm)</t>
  </si>
  <si>
    <t>Non-fork-entry Side Length - L (mm)</t>
  </si>
  <si>
    <t>Non-drive-in Side Length - L (mm)</t>
  </si>
  <si>
    <t>Use when the site has special network requirements.</t>
  </si>
  <si>
    <t>N: Rear Edge Clearance to GMA Relief Slot</t>
  </si>
  <si>
    <t>O: Front Edge Clearance to GMA Relief Slot</t>
  </si>
  <si>
    <t>Drive-in Leg Width - W1 (mm)</t>
  </si>
  <si>
    <t>Drive-in Leg Spacing - S1 (mm)</t>
  </si>
  <si>
    <t>Outer Support Width - W1 (mm)</t>
  </si>
  <si>
    <t>Center Support Width - W2 (mm)</t>
  </si>
  <si>
    <t>Non-drive-in Leg Width - W2 (mm)</t>
  </si>
  <si>
    <t>Non-drive-in Leg Spacing - S2 (mm)</t>
  </si>
  <si>
    <t>前</t>
  </si>
  <si>
    <t>Front</t>
  </si>
  <si>
    <t>后</t>
  </si>
  <si>
    <t>Rear</t>
  </si>
  <si>
    <t>1 pcs</t>
  </si>
  <si>
    <t>2 pcs</t>
  </si>
  <si>
    <t>3 pcs</t>
  </si>
  <si>
    <t>侧边</t>
  </si>
  <si>
    <t>Side</t>
  </si>
  <si>
    <t>前后</t>
  </si>
  <si>
    <t>Front and Rear</t>
  </si>
  <si>
    <t>托非</t>
  </si>
  <si>
    <t>TOF</t>
  </si>
  <si>
    <t>新款</t>
  </si>
  <si>
    <t>New Version</t>
  </si>
  <si>
    <t>横放</t>
  </si>
  <si>
    <t>Horizontal Mounting</t>
  </si>
  <si>
    <t>2光电</t>
  </si>
  <si>
    <t>2 Photoelectric Sensors</t>
  </si>
  <si>
    <t>仅展示</t>
  </si>
  <si>
    <t>Display Only</t>
  </si>
  <si>
    <t>前红色</t>
  </si>
  <si>
    <t>Front Red</t>
  </si>
  <si>
    <t>如定制</t>
  </si>
  <si>
    <t>If Customized</t>
  </si>
  <si>
    <t>对接侧</t>
  </si>
  <si>
    <t>Docking Side</t>
  </si>
  <si>
    <t>托盘等</t>
  </si>
  <si>
    <t>Pallets, etc.</t>
  </si>
  <si>
    <t>步科1</t>
  </si>
  <si>
    <t>Kinco1</t>
  </si>
  <si>
    <t>降本版</t>
  </si>
  <si>
    <t>Cost-optimized Version</t>
  </si>
  <si>
    <t>非雷达</t>
  </si>
  <si>
    <t>Non-LiDAR</t>
  </si>
  <si>
    <t>默认值</t>
  </si>
  <si>
    <t>Default Value</t>
  </si>
  <si>
    <t>1艾吉威</t>
  </si>
  <si>
    <t>1AGVWAY</t>
  </si>
  <si>
    <t>30灯珠</t>
  </si>
  <si>
    <t>30 LEDs</t>
  </si>
  <si>
    <t>一边一个</t>
  </si>
  <si>
    <t>1 pc on Each Side</t>
  </si>
  <si>
    <t>不可修改</t>
  </si>
  <si>
    <t>Not Editable</t>
  </si>
  <si>
    <t>举升3m</t>
  </si>
  <si>
    <t>Lift3m</t>
  </si>
  <si>
    <t>叉车料架</t>
  </si>
  <si>
    <t>forkliftRack</t>
  </si>
  <si>
    <t>扫描货物</t>
  </si>
  <si>
    <t>Scan Goods</t>
  </si>
  <si>
    <t>YesNoRequired</t>
  </si>
  <si>
    <t>Yes, Side Charging</t>
  </si>
  <si>
    <t>遥控手柄</t>
  </si>
  <si>
    <t>量程3m</t>
  </si>
  <si>
    <t>3 m Range</t>
  </si>
  <si>
    <t>1, AGVWAY</t>
  </si>
  <si>
    <t>2，（前后</t>
  </si>
  <si>
    <t>2, Front and Rear</t>
  </si>
  <si>
    <t>Side Charging; Floor Charging</t>
  </si>
  <si>
    <t>光编/磁编</t>
  </si>
  <si>
    <t>Optical Encoder/Magnetic Encoder</t>
  </si>
  <si>
    <t>可选择木箱</t>
  </si>
  <si>
    <t>Steel Crate Optional</t>
  </si>
  <si>
    <t>HollySysMotor</t>
  </si>
  <si>
    <t>左右各一个</t>
  </si>
  <si>
    <t>形态不一样</t>
  </si>
  <si>
    <t>Different Configuration</t>
  </si>
  <si>
    <t>Wooden Crate; Steel Crate</t>
  </si>
  <si>
    <t>若为POC</t>
  </si>
  <si>
    <t>For POC</t>
  </si>
  <si>
    <t>需定制开发</t>
  </si>
  <si>
    <t>Custom Development Required</t>
  </si>
  <si>
    <t>需要（2个</t>
  </si>
  <si>
    <t>Required(2 pcs</t>
  </si>
  <si>
    <t>1，前(红色</t>
  </si>
  <si>
    <t>1, front(Red</t>
  </si>
  <si>
    <t>W 托盘宽度</t>
  </si>
  <si>
    <t>W: Pallet Width</t>
  </si>
  <si>
    <t>Not Required; Required</t>
  </si>
  <si>
    <t>举升4.5m</t>
  </si>
  <si>
    <t>Lift4.5m</t>
  </si>
  <si>
    <t>叉齿尖传感器</t>
  </si>
  <si>
    <t>和利时（磁编</t>
  </si>
  <si>
    <t>HollySys(Magnetic Encoder</t>
  </si>
  <si>
    <t>新电池-国轩</t>
  </si>
  <si>
    <t>New Gotion Battery</t>
  </si>
  <si>
    <t>蓝海E200</t>
  </si>
  <si>
    <t>LeishenE200</t>
  </si>
  <si>
    <t>长边边长-L</t>
  </si>
  <si>
    <t>Long-side Length - L</t>
  </si>
  <si>
    <t>Overload Protection Sensor</t>
  </si>
  <si>
    <t>需要定制开发</t>
  </si>
  <si>
    <t>高-H(mm</t>
  </si>
  <si>
    <t>Height - H(mm</t>
  </si>
  <si>
    <t>1艾吉威（新款</t>
  </si>
  <si>
    <t>1 AGVWAY (New Version)</t>
  </si>
  <si>
    <t>1, front(Red)</t>
  </si>
  <si>
    <t>9减速机一体机</t>
  </si>
  <si>
    <t>1:9 Integrated Gearmotor</t>
  </si>
  <si>
    <t>Wi-Fi 6 NIC</t>
  </si>
  <si>
    <t>Not Required; ±50</t>
  </si>
  <si>
    <t>HollySys750W</t>
  </si>
  <si>
    <t>HollySys(Magnetic Encoder)</t>
  </si>
  <si>
    <t>Handheld scanner: 1</t>
  </si>
  <si>
    <t>TOF, 3 m Range</t>
  </si>
  <si>
    <t>Yes, Front and rear, 1 pc each</t>
  </si>
  <si>
    <t>Yes, 1 pc on Each Side</t>
  </si>
  <si>
    <t>Kinco1KwMotor</t>
  </si>
  <si>
    <t>用于AME遥控</t>
  </si>
  <si>
    <t>For AMR Remote Control</t>
  </si>
  <si>
    <t>离地高度-H2</t>
  </si>
  <si>
    <t>Ground Clearance - H2</t>
  </si>
  <si>
    <t>3D Obstacle Detection</t>
  </si>
  <si>
    <t>能力范围待补充</t>
  </si>
  <si>
    <t>Capability Range TBD</t>
  </si>
  <si>
    <t>高-H1(mm</t>
  </si>
  <si>
    <t>Height - H1(mm</t>
  </si>
  <si>
    <t>高精度对接料架</t>
  </si>
  <si>
    <t>High-precision dockingRack</t>
  </si>
  <si>
    <t>默认wifi5</t>
  </si>
  <si>
    <t>Wi-Fi 5 by Default</t>
  </si>
  <si>
    <t>Default Configuration Display Area</t>
  </si>
  <si>
    <t>2 Photoelectric Sensors, 1 pc on Each Side</t>
  </si>
  <si>
    <t>2，蓝海E200</t>
  </si>
  <si>
    <t>2, LeishenE200</t>
  </si>
  <si>
    <t>不需要；定制开发</t>
  </si>
  <si>
    <t>Not Required; Custom Development</t>
  </si>
  <si>
    <t>叉取⽅向边⻓-W</t>
  </si>
  <si>
    <t>Fork-entry Side Length - W</t>
  </si>
  <si>
    <t>叉取方向边长-W</t>
  </si>
  <si>
    <t>Input Field 6-7Reference Image</t>
  </si>
  <si>
    <t>Input Field 8-9Reference Image</t>
  </si>
  <si>
    <t>如需定制车体颜色</t>
  </si>
  <si>
    <t>If Custom Vehicle Color Is Required</t>
  </si>
  <si>
    <t>Multi-line LiDAR Below Display</t>
  </si>
  <si>
    <t>High-level Pallet Detection Switch</t>
  </si>
  <si>
    <t>横放蓝海E200</t>
  </si>
  <si>
    <t>Leishen E200, Horizontal Mounting</t>
  </si>
  <si>
    <t>相机不在几何中心</t>
  </si>
  <si>
    <t>Camera Is Offset from Geometric Center</t>
  </si>
  <si>
    <t>竖放蓝海E200</t>
  </si>
  <si>
    <t>Leishen E200, Vertical Mounting</t>
  </si>
  <si>
    <t>Goods Relative-position Detection Camera</t>
  </si>
  <si>
    <t>Presales Configuration Template</t>
  </si>
  <si>
    <t>进行对接二次对准</t>
  </si>
  <si>
    <t>Secondary Alignment During Docking</t>
  </si>
  <si>
    <t>驶入方向边长-W</t>
  </si>
  <si>
    <t>Drive-in Side Length - W</t>
  </si>
  <si>
    <t>GMA; Open deck; Other</t>
  </si>
  <si>
    <t>H 托盘高度(mm</t>
  </si>
  <si>
    <t>H: Pallet Height(mm</t>
  </si>
  <si>
    <t>L 托盘长度(mm</t>
  </si>
  <si>
    <t>L: Pallet Length(mm</t>
  </si>
  <si>
    <t>RFID（扫描货物</t>
  </si>
  <si>
    <t>RFID (Goods Scanning)</t>
  </si>
  <si>
    <t>wifi 模块外置</t>
  </si>
  <si>
    <t>External Wi-Fi Module</t>
  </si>
  <si>
    <t>⾮叉取⽅向边⻓-L</t>
  </si>
  <si>
    <t>Non-fork-entry Side Length - L</t>
  </si>
  <si>
    <t>举升高度要求（mm</t>
  </si>
  <si>
    <t>Lift Height Requirement(mm</t>
  </si>
  <si>
    <t>其他定制需求请描述</t>
  </si>
  <si>
    <t>Describe Other Custom Requirements</t>
  </si>
  <si>
    <t>Front; Rear; 1 pc Each at Front and Rear</t>
  </si>
  <si>
    <t>基恩士GC-S84</t>
  </si>
  <si>
    <t>KeyenceGC-S84</t>
  </si>
  <si>
    <t>宽边支腿边长-W1</t>
  </si>
  <si>
    <t>Short-side Leg Width - W1</t>
  </si>
  <si>
    <t>宽边支腿间距-S1</t>
  </si>
  <si>
    <t>Short-side Leg Spacing - S1</t>
  </si>
  <si>
    <t>宽边边长-W(mm</t>
  </si>
  <si>
    <t>Short-side Length - W(mm</t>
  </si>
  <si>
    <t>底盘*2+上装*1</t>
  </si>
  <si>
    <t>Chassis ×2 + Upper Module ×1</t>
  </si>
  <si>
    <t>货叉外宽要求（mm</t>
  </si>
  <si>
    <t>Fork Outer Width Requirement(mm</t>
  </si>
  <si>
    <t>货叉长度要求（mm</t>
  </si>
  <si>
    <t>Fork Length Requirement(mm</t>
  </si>
  <si>
    <t>长边支腿边长-W2</t>
  </si>
  <si>
    <t>Long-side Leg Width - W2</t>
  </si>
  <si>
    <t>长边支腿间距-S2</t>
  </si>
  <si>
    <t>Long-side Leg Spacing - S2</t>
  </si>
  <si>
    <t>长边边长-L(mm</t>
  </si>
  <si>
    <t>门架居中后下方雷达</t>
  </si>
  <si>
    <t>LiDAR Centered Below Rear of Mast</t>
  </si>
  <si>
    <t>需要（+4°-0°</t>
  </si>
  <si>
    <t>Required(+4°-0°</t>
  </si>
  <si>
    <t>非驶入方向边长-L</t>
  </si>
  <si>
    <t>Non-drive-in Side Length - L</t>
  </si>
  <si>
    <t>1，横放蓝海E200</t>
  </si>
  <si>
    <t>1, Leishen E200, Horizontal Mounting</t>
  </si>
  <si>
    <t>1，竖放蓝海E200</t>
  </si>
  <si>
    <t>1, Leishen E200, Vertical Mounting</t>
  </si>
  <si>
    <t>H: Pallet Height(mm)</t>
  </si>
  <si>
    <t>L: Pallet Length(mm)</t>
  </si>
  <si>
    <t>Not Required; Custom Development Required</t>
  </si>
  <si>
    <t>Not Required; Required(2 pcs)</t>
  </si>
  <si>
    <t>Lift Height Requirement(mm)</t>
  </si>
  <si>
    <t>也可完成远程运维功能</t>
  </si>
  <si>
    <t>Also Supports Remote O&amp;M</t>
  </si>
  <si>
    <t>叉齿尖传感器（非雷达</t>
  </si>
  <si>
    <t>Fork-tip Sensor (Non-LiDAR)</t>
  </si>
  <si>
    <t>基恩士GC-1000</t>
  </si>
  <si>
    <t>KeyenceGC-1000</t>
  </si>
  <si>
    <t>机械式
2颗蓝海雷达</t>
  </si>
  <si>
    <t>Mechanical 2 Leishen LiDARs</t>
  </si>
  <si>
    <t>离地高度-H2(mm</t>
  </si>
  <si>
    <t>读取料架底部的二维码</t>
  </si>
  <si>
    <t>Reads QR Codes on the Bottom of the Rack</t>
  </si>
  <si>
    <t>Fork Outer Width Requirement(mm)</t>
  </si>
  <si>
    <t>Fork Length Requirement(mm)</t>
  </si>
  <si>
    <t>需写清劳尔或潘通色号</t>
  </si>
  <si>
    <t>Specify RAL or Pantone Color Code</t>
  </si>
  <si>
    <t>需要二维码导航的场景</t>
  </si>
  <si>
    <t>For Applications Requiring QR-code Navigation</t>
  </si>
  <si>
    <t>需要（能力范围待补充</t>
  </si>
  <si>
    <t>Required (Capability Range TBD)</t>
  </si>
  <si>
    <t>3（底盘*2+上装*1</t>
  </si>
  <si>
    <t>3 (Chassis ×2 + Upper Module ×1)</t>
  </si>
  <si>
    <t>R20同款-新换的那个</t>
  </si>
  <si>
    <t>Same as R20 - New Replacement</t>
  </si>
  <si>
    <t>livox+蓝色U型灯</t>
  </si>
  <si>
    <t>Livox + Blue U-shaped Light</t>
  </si>
  <si>
    <t>叉取⽅向边⻓-W(mm</t>
  </si>
  <si>
    <t>叉取方向支腿边长-W1</t>
  </si>
  <si>
    <t>Fork-entry Leg Width - W1</t>
  </si>
  <si>
    <t>叉取方向支腿间距-S1</t>
  </si>
  <si>
    <t>Fork-entry Leg Spacing - S1</t>
  </si>
  <si>
    <t>叉取方向边长-W(mm</t>
  </si>
  <si>
    <t>Kinco 1:9 Integrated Gearmotor</t>
  </si>
  <si>
    <t>Kinco 400 W Dual-encoder Motor with Brake</t>
  </si>
  <si>
    <t>编码器类型（光编/磁编</t>
  </si>
  <si>
    <t>Encoder Type(Optical Encoder/Magnetic Encoder</t>
  </si>
  <si>
    <t>蓝海LDS-50C-E</t>
  </si>
  <si>
    <t>LeishenLDS-50C-E</t>
  </si>
  <si>
    <t>需要（2个，前后各一个</t>
  </si>
  <si>
    <t>Required(2 pcs, Front and rear, 1 pc each</t>
  </si>
  <si>
    <t>驶入方向支腿边长-W1</t>
  </si>
  <si>
    <t>Drive-in Leg Width - W1</t>
  </si>
  <si>
    <t>驶入方向支腿间距-S1</t>
  </si>
  <si>
    <t>Drive-in Leg Spacing - S1</t>
  </si>
  <si>
    <t>驶入方向边长-W(mm</t>
  </si>
  <si>
    <t>10寸业务屏+5寸组态屏</t>
  </si>
  <si>
    <t>10-inch operations display+5-inch HMI display</t>
  </si>
  <si>
    <t>2, mechanical 2 Leishen LiDARs</t>
  </si>
  <si>
    <t>⾮叉取⽅向边⻓-L(mm</t>
  </si>
  <si>
    <t>Not Required; ±50; ±100</t>
  </si>
  <si>
    <t>前方侧充/横移充电-地充</t>
  </si>
  <si>
    <t>Front Side Charging / Side-shift Charging - Floor Charging</t>
  </si>
  <si>
    <t>叉取方向两侧立柱宽-W1</t>
  </si>
  <si>
    <t>Outer Support Width - W1</t>
  </si>
  <si>
    <t>叉取方向中间立柱宽-W2</t>
  </si>
  <si>
    <t>Center Support Width - W2</t>
  </si>
  <si>
    <t>Goods Detection LiDAR Below Fork Center</t>
  </si>
  <si>
    <t>Goods Height Detection LiDAR at Fork Center</t>
  </si>
  <si>
    <t>宽边支腿边长-W1(mm</t>
  </si>
  <si>
    <t>宽边支腿间距-S1(mm</t>
  </si>
  <si>
    <t>For Spatial Obstacle Avoidance on LS Series</t>
  </si>
  <si>
    <t>Projects the Driving Direction up to 3 m Ahead</t>
  </si>
  <si>
    <t>精度选型需咨询硬件部部门</t>
  </si>
  <si>
    <t>Consult the Hardware Team for Accuracy Selection</t>
  </si>
  <si>
    <t>Encoder Type(Optical Encoder/Magnetic Encoder)</t>
  </si>
  <si>
    <t>自研1代（默认wifi5</t>
  </si>
  <si>
    <t>In-house Gen 1 (Wi-Fi 5 by Default)</t>
  </si>
  <si>
    <t>若非以上场景，可选择木箱</t>
  </si>
  <si>
    <t>For Other Scenarios, Wooden Crate Can Be Selected</t>
  </si>
  <si>
    <t>配合新充电桩 380电压</t>
  </si>
  <si>
    <t>For New Charger, 380 V Input</t>
  </si>
  <si>
    <t>长边支腿边长-W2(mm</t>
  </si>
  <si>
    <t>长边支腿间距-S2(mm</t>
  </si>
  <si>
    <t>门架居中后下方雷达（横放</t>
  </si>
  <si>
    <t>LiDAR Centered Below Rear of Mast (Horizontal Mounting)</t>
  </si>
  <si>
    <t>非叉取方向支腿边长-W2</t>
  </si>
  <si>
    <t>Non-fork-entry Leg Width - W2</t>
  </si>
  <si>
    <t>非叉取方向支腿间距-S2</t>
  </si>
  <si>
    <t>Non-fork-entry Leg Spacing - S2</t>
  </si>
  <si>
    <t>非驶入方向支腿边长-W2</t>
  </si>
  <si>
    <t>Non-drive-in Leg Width - W2</t>
  </si>
  <si>
    <t>非驶入方向支腿间距-S2</t>
  </si>
  <si>
    <t>Non-drive-in Leg Spacing - S2</t>
  </si>
  <si>
    <t>非驶入方向边长-L(mm</t>
  </si>
  <si>
    <t>Not Required; Docking Camera; Navigation Camera</t>
  </si>
  <si>
    <t>Standard Docking Camera; Optional Navigation Camera</t>
  </si>
  <si>
    <t>Kinco 1 kW Dual-encoder Motor with Brake</t>
  </si>
  <si>
    <t>现场货物已配备RFID芯片</t>
  </si>
  <si>
    <t>For Sites Where Goods Are Equipped with RFID Tags</t>
  </si>
  <si>
    <t>自研1代（默认wifi5）</t>
  </si>
  <si>
    <t>9减速机一体机 双编码带抱闸</t>
  </si>
  <si>
    <t>1:9 Integrated Gearmotor, Dual Encoder with Brake</t>
  </si>
  <si>
    <t>TSA*3 + 门架中间*1</t>
  </si>
  <si>
    <t>TSA ×3 + Mast Center ×1</t>
  </si>
  <si>
    <t>W 托盘宽度（对接侧）(mm</t>
  </si>
  <si>
    <t>W: Pallet Width (Docking Side) (mm)</t>
  </si>
  <si>
    <t>Not Required; Required(+4°-0°)</t>
  </si>
  <si>
    <t>叉取方向支腿边长-W1(mm</t>
  </si>
  <si>
    <t>Fork-entry Leg Width - W1 (mm)</t>
  </si>
  <si>
    <t>叉取方向支腿间距-S1(mm</t>
  </si>
  <si>
    <t>Fork-entry Leg Spacing - S1 (mm)</t>
  </si>
  <si>
    <t>forkliftRack; Lift Rack; Tow Rack</t>
  </si>
  <si>
    <t>有(前方侧充/横移充电-地充</t>
  </si>
  <si>
    <t>Yes (Front Side Charging / Side-shift Charging - Floor Charging)</t>
  </si>
  <si>
    <t>自研三代（wifi 模块外置</t>
  </si>
  <si>
    <t>In-house Gen 3 (External Wi-Fi Module)</t>
  </si>
  <si>
    <t>请提前确认载荷曲线及降载信息</t>
  </si>
  <si>
    <t>Confirm the Load Curve and Derating Information in Advance</t>
  </si>
  <si>
    <t>需要（livox+蓝色U型灯</t>
  </si>
  <si>
    <t>Required (Livox + Blue U-shaped Light)</t>
  </si>
  <si>
    <t>驶入方向支腿边长-W1(mm</t>
  </si>
  <si>
    <t>驶入方向支腿间距-S1(mm</t>
  </si>
  <si>
    <t>Not Required; Required (Capability Range TBD)</t>
  </si>
  <si>
    <t>叉取方向两侧立柱宽-W1(mm</t>
  </si>
  <si>
    <t>叉取方向中间立柱宽-W2(mm</t>
  </si>
  <si>
    <t>导航相机：需要二维码导航的场景</t>
  </si>
  <si>
    <t>Navigation Camera: For Applications Requiring QR-code Navigation</t>
  </si>
  <si>
    <t>布瑞特（R20同款-新换的那个</t>
  </si>
  <si>
    <t>Briter (Same as R20 - New Replacement)</t>
  </si>
  <si>
    <t>并联系TJ进行渲染后同客户确认</t>
  </si>
  <si>
    <t>Contact TJ for Rendering and Customer Confirmation</t>
  </si>
  <si>
    <t>并需要对商品进行严格校验的场景</t>
  </si>
  <si>
    <t>For Applications Requiring Strict Goods Verification</t>
  </si>
  <si>
    <t>自研三代（wifi 模块外置）</t>
  </si>
  <si>
    <t>若现场无PDA则必须选择遥控器</t>
  </si>
  <si>
    <t>Remote Controller Is Required If No PDA Is Available On-site</t>
  </si>
  <si>
    <t>非叉取方向支腿边长-W2(mm</t>
  </si>
  <si>
    <t>Non-fork-entry Leg Width - W2 (mm)</t>
  </si>
  <si>
    <t>非叉取方向支腿间距-S2(mm</t>
  </si>
  <si>
    <t>Non-fork-entry Leg Spacing - S2 (mm)</t>
  </si>
  <si>
    <t>非驶入方向支腿边长-W2(mm</t>
  </si>
  <si>
    <t>非驶入方向支腿间距-S2(mm</t>
  </si>
  <si>
    <t>黄色单元格为售前可填写/覆盖项</t>
  </si>
  <si>
    <t>Yellow Cells Are Editable/Overridable by Presales</t>
  </si>
  <si>
    <t>TSA*4 + 相对检测相机*1</t>
  </si>
  <si>
    <t>TSA*4 + Relative Positioning Camera*1</t>
  </si>
  <si>
    <t>Not Required; Required(2 pcs, Front and rear, 1 pc each)</t>
  </si>
  <si>
    <t>可定制＞680，但载重能力会下降</t>
  </si>
  <si>
    <t>Custom &gt;680 mm Available, but Load Capacity Will Be Reduced</t>
  </si>
  <si>
    <t>可读取托盘上货物的二维码/条形码</t>
  </si>
  <si>
    <t>Reads QR Codes/Barcodes on Goods on the Pallet</t>
  </si>
  <si>
    <t>此相机不支持二维码导航
导航相机</t>
  </si>
  <si>
    <t>This Camera Does Not Support QR-code Navigation
Navigation Camera</t>
  </si>
  <si>
    <t>用于AMR对接欧洲托盘时固定托盘</t>
  </si>
  <si>
    <t>For Securing Euro Pallets During AMR Docking</t>
  </si>
  <si>
    <t>定制开发（如定制，相机不在几何中心</t>
  </si>
  <si>
    <t>Custom Development (Camera Will Be Offset from Geometric Center)</t>
  </si>
  <si>
    <t>科力安全雷达KLMs-0327PE</t>
  </si>
  <si>
    <t>Keli Safety LiDARKLMs-0327PE</t>
  </si>
  <si>
    <t>Apex C1500-L若选配会降载</t>
  </si>
  <si>
    <t>Payload Will Be Derated If Selected for Apex C1500-L</t>
  </si>
  <si>
    <t>具体尺寸需求请与研发确认可行性后选配</t>
  </si>
  <si>
    <t>Confirm Dimensional Feasibility with R&amp;D Before Selection</t>
  </si>
  <si>
    <t>有，形态不一样（TSA模组，30灯珠</t>
  </si>
  <si>
    <t>Yes, Different Configuration (TSA Module, 30 LEDs)</t>
  </si>
  <si>
    <t>Confirm with the Hardware Team Before Filling In This Section</t>
  </si>
  <si>
    <t>Kinco 1:9 Integrated Gearmotor, Dual Encoder with Brake</t>
  </si>
  <si>
    <t>避免托盘在AMR运行过程中滑落或偏移</t>
  </si>
  <si>
    <t>Prevents Pallet Slippage or Shifting During AMR Travel</t>
  </si>
  <si>
    <t>Custom Development Required; Consult the Hardware Team for Accuracy Selection</t>
  </si>
  <si>
    <t>需要（若现场无PDA则必须选择遥控器</t>
  </si>
  <si>
    <t>Required (Remote Controller Is Mandatory If No PDA Is Available On-site)</t>
  </si>
  <si>
    <t>680/560/460
可定制＞680</t>
  </si>
  <si>
    <t>680 / 560 / 460
Custom &gt;680 mm Available</t>
  </si>
  <si>
    <t>Not Required; Required (Livox + Blue U-shaped Light)</t>
  </si>
  <si>
    <t>仅Apex 2000-G车型需填写此项</t>
  </si>
  <si>
    <t>Required Only for Apex 2000-G</t>
  </si>
  <si>
    <t>北洋安全雷达UAM-05LP-T301</t>
  </si>
  <si>
    <t>Hokuyo Safety LiDARUAM-05LP-T301</t>
  </si>
  <si>
    <t>有，形态不一样（TSA模组，30灯珠）</t>
  </si>
  <si>
    <t>Reads QR Codes on the Bottom of the Rack for Secondary Docking Alignment</t>
  </si>
  <si>
    <t>Apex C1500-L(Lift3m)CE</t>
  </si>
  <si>
    <t>基恩士GC-1000
基恩士GC-S84</t>
  </si>
  <si>
    <t>KeyenceGC-1000 KeyenceGC-S84</t>
  </si>
  <si>
    <t>Apex C1500-L(Lift3m)NCE</t>
  </si>
  <si>
    <t>且定制需求需要提前同研发沟通确认后进行描述</t>
  </si>
  <si>
    <t>Custom Requirements Must Be Confirmed with R&amp;D in Advance Before Being Specified</t>
  </si>
  <si>
    <t>Apex C1500-L(Lift4.5m)CE</t>
  </si>
  <si>
    <t>Not Required; Custom Development (Camera Will Be Offset from Geometric Center)</t>
  </si>
  <si>
    <t>若为POC、展会或需二次运输场景需要选择铁箱</t>
  </si>
  <si>
    <t>Select a Steel Crate for POC, Trade Show, or Secondary Transportation</t>
  </si>
  <si>
    <t>Apex C1500-L(Lift4.5m)NCE</t>
  </si>
  <si>
    <t>Not Required; Required (Remote Controller Is Mandatory If No PDA Is Available On-site)</t>
  </si>
  <si>
    <t>展会或需二次运输场景需要选择铁箱；若非以上场景</t>
  </si>
  <si>
    <t>Select a Steel Crate for Trade Show or Secondary Transportation; Otherwise</t>
  </si>
  <si>
    <t>科力安全雷达KLMs-0327PE
北洋安全雷达</t>
  </si>
  <si>
    <t>Keli Safety LiDARKLMs-0327PE Hokuyo Safety LiDAR</t>
  </si>
  <si>
    <t>北洋安全雷达UAM-05LP-T301
科力安全雷达</t>
  </si>
  <si>
    <t>Hokuyo Safety LiDARUAM-05LP-T301 Keli Safety LiDAR</t>
  </si>
  <si>
    <t>TSA*4 + 相对检测相机*1（也可完成远程运维功能</t>
  </si>
  <si>
    <t>TSA ×4 + Relative Positioning Camera ×1 (Also Supports Remote O&amp;M)</t>
  </si>
  <si>
    <t>叉齿外宽及内测间距需满足距托盘中间或外侧立柱≥20mm</t>
  </si>
  <si>
    <t>Fork Outer Width and Inner Spacing Must Maintain ≥20 mm Clearance from the Pallet Center or Outer Supports</t>
  </si>
  <si>
    <t>TSA*4 + 相对检测相机*1（也可完成远程运维功能）</t>
  </si>
  <si>
    <t>对接相机：高精度对接料架、托盘等，此相机不支持二维码导航</t>
  </si>
  <si>
    <t>Docking Camera: For High-precision Docking with Racks, Pallets, etc.; Does Not Support QR-code Navigation</t>
  </si>
  <si>
    <t>配置项、默认值、展示分区和下拉选项均在“配置数据库”维护</t>
  </si>
  <si>
    <t>Configuration Items, Defaults, Display Sections, and Dropdown Options Are Maintained in the “Configuration Database”</t>
  </si>
  <si>
    <t>For Sites Where Goods Have RFID Tags and Strict Goods Verification Is Required</t>
  </si>
  <si>
    <t>新电池-国轩（GXFB-48315-100200-A0-CE</t>
  </si>
  <si>
    <t>New Gotion Battery (GXFB-48315-100200-A0-CE)</t>
  </si>
  <si>
    <t>Describe Other Custom Requirements; Confirm All Custom Requirements with R&amp;D in Advance</t>
  </si>
  <si>
    <t>Payload Will Be Derated If Selected for Apex C1500-L; Confirm the Load Curve and Derating Information in Advance</t>
  </si>
  <si>
    <t>Reads QR Codes/Barcodes on Goods on the Pallet; Confirm Dimensional Feasibility with R&amp;D Before Selection</t>
  </si>
  <si>
    <t>For Custom Vehicle Colors, Specify the RAL or Pantone Code and Contact TJ for Rendering and Customer Confirmation</t>
  </si>
  <si>
    <t>用于AMR对接欧洲托盘时固定托盘，避免托盘在AMR运行过程中滑落或偏移</t>
  </si>
  <si>
    <t>Secures Euro Pallets During AMR Docking to Prevent Slippage or Shifting During Travel</t>
  </si>
  <si>
    <t>Select a Steel Crate for POC, Trade Show, or Secondary Transportation; Otherwise, a Wooden Crate Can Be Selected</t>
  </si>
  <si>
    <t>展示分区和下拉选项均在“配置数据库”维护；黄色单元格为售前可填写/覆盖项</t>
  </si>
  <si>
    <t>Display Sections and Dropdown Options Are Maintained in the “Configuration Database”; Yellow Cells Are Editable/Overridable by Presales</t>
  </si>
  <si>
    <t>Secures Euro Pallets During AMR Docking to Prevent Slippage or Shifting During Travel.</t>
  </si>
  <si>
    <t>Not Required; 400mm-800mm; 400mm-1000mm; 440mm-1300mm</t>
  </si>
  <si>
    <t>Docking Camera: For High-precision Docking with Racks, Pallets, etc.; Does Not Support QR-code Navigation
Navigation Camera: For Applications Requiring QR-code Navigation</t>
  </si>
  <si>
    <t>新电池-国轩（GXFB-48315-100200-A0-CE）
配合新充电桩 380电压</t>
  </si>
  <si>
    <t>New Gotion Battery (GXFB-48315-100200-A0-CE)
For New Charger, 380 V Input</t>
  </si>
  <si>
    <t>Configuration Items, Defaults, Display Sections, and Dropdown Options Are Maintained in the “Configuration Database”; Yellow Cells Are Editable/Overridable by Presales.</t>
  </si>
  <si>
    <t>Fork Outer Width and Inner Spacing Must Maintain ≥20 mm Clearance from the Pallet Center or Outer Supports; Confirm with the Hardware Team Before Filling In This Section</t>
  </si>
  <si>
    <t>680/560/460
可定制＞680，但载重能力会下降</t>
  </si>
  <si>
    <t>680/560/460
Customizable above 680, but load capacity will be reduced.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</si>
</sst>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color theme="1"/>
      <name val="宋体"/>
      <charset val="134"/>
      <scheme val="minor"/>
    </font>
    <font>
      <sz val="10.5"/>
      <color theme="1"/>
      <name val="Segoe UI"/>
      <charset val="134"/>
    </font>
    <font>
      <b/>
      <sz val="11"/>
      <color rgb="FFFFFFFF"/>
      <name val="宋体"/>
      <charset val="134"/>
      <scheme val="minor"/>
    </font>
    <font>
      <b/>
      <sz val="11"/>
      <color rgb="FF17365D"/>
      <name val="宋体"/>
      <charset val="134"/>
      <scheme val="minor"/>
    </font>
    <font>
      <sz val="10.5"/>
      <color rgb="FF172B4D"/>
      <name val="宋体"/>
      <charset val="134"/>
    </font>
    <font>
      <b/>
      <sz val="16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C9D3DF"/>
      </left>
      <right style="thin">
        <color rgb="FFC9D3DF"/>
      </right>
      <top style="thin">
        <color rgb="FFC9D3DF"/>
      </top>
      <bottom style="thin">
        <color rgb="FFC9D3DF"/>
      </bottom>
      <diagonal/>
    </border>
    <border>
      <left style="thin">
        <color rgb="FFC9D3DF"/>
      </left>
      <right style="thin">
        <color rgb="FFC9D3DF"/>
      </right>
      <top style="thin">
        <color rgb="FFC9D3DF"/>
      </top>
      <bottom/>
      <diagonal/>
    </border>
    <border>
      <left style="thin">
        <color rgb="FFC9D3DF"/>
      </left>
      <right style="thin">
        <color rgb="FFC9D3DF"/>
      </right>
      <top/>
      <bottom/>
      <diagonal/>
    </border>
    <border>
      <left style="thin">
        <color rgb="FFC9D3DF"/>
      </left>
      <right style="thin">
        <color rgb="FFC9D3DF"/>
      </right>
      <top/>
      <bottom style="thin">
        <color rgb="FFC9D3D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8" applyNumberFormat="0" applyAlignment="0" applyProtection="0">
      <alignment vertical="center"/>
    </xf>
    <xf numFmtId="0" fontId="15" fillId="11" borderId="9" applyNumberFormat="0" applyAlignment="0" applyProtection="0">
      <alignment vertical="center"/>
    </xf>
    <xf numFmtId="0" fontId="16" fillId="11" borderId="8" applyNumberFormat="0" applyAlignment="0" applyProtection="0">
      <alignment vertical="center"/>
    </xf>
    <xf numFmtId="0" fontId="17" fillId="12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NumberFormat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0" xfId="0" applyAlignment="1">
      <alignment horizontal="center" wrapText="1"/>
    </xf>
    <xf numFmtId="0" fontId="4" fillId="0" borderId="0" xfId="0" applyFont="1"/>
    <xf numFmtId="0" fontId="0" fillId="4" borderId="2" xfId="0" applyFill="1" applyBorder="1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5" borderId="0" xfId="0" applyFill="1"/>
    <xf numFmtId="0" fontId="5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top" wrapText="1"/>
    </xf>
    <xf numFmtId="0" fontId="0" fillId="6" borderId="1" xfId="0" applyFill="1" applyBorder="1" applyAlignment="1" applyProtection="1">
      <alignment vertical="top" wrapText="1"/>
      <protection locked="0"/>
    </xf>
    <xf numFmtId="0" fontId="0" fillId="7" borderId="1" xfId="0" applyFill="1" applyBorder="1" applyAlignment="1" applyProtection="1">
      <alignment vertical="top" wrapText="1"/>
      <protection locked="0"/>
    </xf>
    <xf numFmtId="176" fontId="0" fillId="7" borderId="1" xfId="0" applyNumberFormat="1" applyFill="1" applyBorder="1" applyAlignment="1" applyProtection="1">
      <alignment vertical="top" wrapText="1"/>
      <protection locked="0"/>
    </xf>
    <xf numFmtId="0" fontId="3" fillId="4" borderId="1" xfId="0" applyFont="1" applyFill="1" applyBorder="1" applyAlignment="1">
      <alignment vertical="center" wrapText="1"/>
    </xf>
    <xf numFmtId="0" fontId="0" fillId="4" borderId="1" xfId="0" applyFill="1" applyBorder="1" applyAlignment="1" applyProtection="1">
      <alignment vertical="top" wrapText="1"/>
      <protection locked="0"/>
    </xf>
    <xf numFmtId="0" fontId="0" fillId="8" borderId="1" xfId="0" applyFill="1" applyBorder="1" applyAlignment="1" applyProtection="1">
      <alignment vertical="top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8.png"/><Relationship Id="rId8" Type="http://schemas.openxmlformats.org/officeDocument/2006/relationships/image" Target="media/image7.png"/><Relationship Id="rId7" Type="http://schemas.openxmlformats.org/officeDocument/2006/relationships/image" Target="NULL" TargetMode="External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3" Type="http://schemas.openxmlformats.org/officeDocument/2006/relationships/image" Target="media/image12.png"/><Relationship Id="rId12" Type="http://schemas.openxmlformats.org/officeDocument/2006/relationships/image" Target="media/image11.png"/><Relationship Id="rId11" Type="http://schemas.openxmlformats.org/officeDocument/2006/relationships/image" Target="media/image10.png"/><Relationship Id="rId10" Type="http://schemas.openxmlformats.org/officeDocument/2006/relationships/image" Target="media/image9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0</xdr:colOff>
      <xdr:row>2</xdr:row>
      <xdr:rowOff>0</xdr:rowOff>
    </xdr:from>
    <xdr:to>
      <xdr:col>10</xdr:col>
      <xdr:colOff>0</xdr:colOff>
      <xdr:row>2</xdr:row>
      <xdr:rowOff>0</xdr:rowOff>
    </xdr:to>
    <xdr:pic>
      <xdr:nvPicPr>
        <xdr:cNvPr id="5" name="图片 4"/>
        <xdr:cNvPicPr>
          <a:picLocks noChangeAspect="1"/>
        </xdr:cNvPicPr>
      </xdr:nvPicPr>
      <xdr:blipFill>
        <a:stretch>
          <a:fillRect/>
        </a:stretch>
      </xdr:blipFill>
      <xdr:spPr>
        <a:xfrm>
          <a:off x="17611725" y="24384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0</xdr:rowOff>
        </xdr:from>
        <xdr:to>
          <xdr:col>8</xdr:col>
          <xdr:colOff>2038350</xdr:colOff>
          <xdr:row>5</xdr:row>
          <xdr:rowOff>250825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2420600" y="6286500"/>
              <a:ext cx="2038350" cy="16129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0"/>
  <sheetViews>
    <sheetView showGridLines="0" workbookViewId="0">
      <pane ySplit="9" topLeftCell="A10" activePane="bottomLeft" state="frozen"/>
      <selection/>
      <selection pane="bottomLeft" activeCell="A5" sqref="A5"/>
    </sheetView>
  </sheetViews>
  <sheetFormatPr defaultColWidth="9" defaultRowHeight="13.5"/>
  <cols>
    <col min="1" max="1" width="22" customWidth="1"/>
    <col min="2" max="2" width="58" customWidth="1"/>
    <col min="3" max="3" width="14" customWidth="1"/>
    <col min="4" max="4" width="36" customWidth="1"/>
    <col min="5" max="17" width="13" hidden="1" customWidth="1"/>
    <col min="26" max="26" width="13" hidden="1" customWidth="1"/>
  </cols>
  <sheetData>
    <row r="1" ht="32" customHeight="1" spans="1:17">
      <c r="A1" s="14" t="s">
        <v>0</v>
      </c>
    </row>
    <row r="2" spans="1:17">
      <c r="P2">
        <f>IF(AND(配置数据库!$C90="售前填写",INDEX(配置数据库!$G90:$AG90,1,MATCH($B$3,配置数据库!$G$8:$AG$8,0))&lt;&gt;""),SUMPRODUCT((配置数据库!$C$90:$C90="售前填写")*(INDEX(配置数据库!$G$90:$AG90,0,MATCH($B$3,配置数据库!$G$8:$AG$8,0))&lt;&gt;"")),"")</f>
        <v>1</v>
      </c>
      <c r="Q2" t="str">
        <f>IF(AND(配置数据库!$C90="默认配置",INDEX(配置数据库!$G90:$AG90,1,MATCH($B$3,配置数据库!$G$8:$AG$8,0))&lt;&gt;""),SUMPRODUCT((配置数据库!$C$90:$C90="默认配置")*(INDEX(配置数据库!$G$90:$AG90,0,MATCH($B$3,配置数据库!$G$8:$AG$8,0))&lt;&gt;"")),"")</f>
        <v/>
      </c>
    </row>
    <row r="3" ht="60" customHeight="1" spans="1:17">
      <c r="A3" s="15" t="s">
        <v>1</v>
      </c>
      <c r="B3" s="16" t="s">
        <v>2</v>
      </c>
      <c r="C3" s="15" t="s">
        <v>3</v>
      </c>
      <c r="D3" s="16" t="s">
        <v>4</v>
      </c>
      <c r="P3">
        <f>IF(AND(配置数据库!$C10="售前填写",INDEX(配置数据库!$G10:$AG10,1,MATCH($B$3,配置数据库!$G$8:$AG$8,0))&lt;&gt;""),SUMPRODUCT((配置数据库!$C$10:$C10="售前填写")*(INDEX(配置数据库!$G$10:$AG10,0,MATCH($B$3,配置数据库!$G$8:$AG$8,0))&lt;&gt;"")),"")</f>
        <v>1</v>
      </c>
      <c r="Q3" t="str">
        <f>IF(AND(配置数据库!$C10="默认配置",INDEX(配置数据库!$G10:$AG10,1,MATCH($B$3,配置数据库!$G$8:$AG$8,0))&lt;&gt;""),SUMPRODUCT((配置数据库!$C$10:$C10="默认配置")*(INDEX(配置数据库!$G$10:$AG10,0,MATCH($B$3,配置数据库!$G$8:$AG$8,0))&lt;&gt;"")),"")</f>
        <v/>
      </c>
    </row>
    <row r="4" ht="39" customHeight="1" spans="1:17">
      <c r="A4" s="15" t="s">
        <v>5</v>
      </c>
      <c r="B4" s="16" t="s">
        <v>4</v>
      </c>
      <c r="C4" s="15" t="s">
        <v>6</v>
      </c>
      <c r="D4" s="17" t="s">
        <v>4</v>
      </c>
      <c r="P4" t="e">
        <f>IF(AND(配置数据库!#REF!="售前填写",INDEX(配置数据库!#REF!,1,MATCH($B$3,配置数据库!$G$8:$AG$8,0))&lt;&gt;""),SUMPRODUCT((配置数据库!$C$10:$C10="售前填写")*(INDEX(配置数据库!$G$10:$AG10,0,MATCH($B$3,配置数据库!$G$8:$AG$8,0))&lt;&gt;"")),"")</f>
        <v>#REF!</v>
      </c>
      <c r="Q4" t="e">
        <f>IF(AND(配置数据库!#REF!="默认配置",INDEX(配置数据库!#REF!,1,MATCH($B$3,配置数据库!$G$8:$AG$8,0))&lt;&gt;""),SUMPRODUCT((配置数据库!$C$10:$C10="默认配置")*(INDEX(配置数据库!$G$10:$AG10,0,MATCH($B$3,配置数据库!$G$8:$AG$8,0))&lt;&gt;"")),"")</f>
        <v>#REF!</v>
      </c>
    </row>
    <row r="5" spans="1:17">
      <c r="A5" s="15" t="s">
        <v>7</v>
      </c>
      <c r="B5" s="18" t="s">
        <v>4</v>
      </c>
      <c r="P5" t="e">
        <f>IF(AND(配置数据库!#REF!="售前填写",INDEX(配置数据库!#REF!,1,MATCH($B$3,配置数据库!$G$8:$AG$8,0))&lt;&gt;""),SUMPRODUCT((配置数据库!$C$10:$C10="售前填写")*(INDEX(配置数据库!$G$10:$AG10,0,MATCH($B$3,配置数据库!$G$8:$AG$8,0))&lt;&gt;"")),"")</f>
        <v>#REF!</v>
      </c>
      <c r="Q5" t="e">
        <f>IF(AND(配置数据库!#REF!="默认配置",INDEX(配置数据库!#REF!,1,MATCH($B$3,配置数据库!$G$8:$AG$8,0))&lt;&gt;""),SUMPRODUCT((配置数据库!$C$10:$C10="默认配置")*(INDEX(配置数据库!$G$10:$AG10,0,MATCH($B$3,配置数据库!$G$8:$AG$8,0))&lt;&gt;"")),"")</f>
        <v>#REF!</v>
      </c>
    </row>
    <row r="6" spans="1:17">
      <c r="A6" s="15" t="s">
        <v>8</v>
      </c>
      <c r="B6" s="17" t="s">
        <v>9</v>
      </c>
      <c r="P6">
        <f>IF(AND(配置数据库!$C11="售前填写",INDEX(配置数据库!$G11:$AG11,1,MATCH($B$3,配置数据库!$G$8:$AG$8,0))&lt;&gt;""),SUMPRODUCT((配置数据库!$C$10:$C11="售前填写")*(INDEX(配置数据库!$G$10:$AG11,0,MATCH($B$3,配置数据库!$G$8:$AG$8,0))&lt;&gt;"")),"")</f>
        <v>2</v>
      </c>
      <c r="Q6" t="str">
        <f>IF(AND(配置数据库!$C11="默认配置",INDEX(配置数据库!$G11:$AG11,1,MATCH($B$3,配置数据库!$G$8:$AG$8,0))&lt;&gt;""),SUMPRODUCT((配置数据库!$C$10:$C11="默认配置")*(INDEX(配置数据库!$G$10:$AG11,0,MATCH($B$3,配置数据库!$G$8:$AG$8,0))&lt;&gt;"")),"")</f>
        <v/>
      </c>
    </row>
    <row r="7" spans="1:17">
      <c r="P7">
        <f>IF(AND(配置数据库!$C12="售前填写",INDEX(配置数据库!$G12:$AG12,1,MATCH($B$3,配置数据库!$G$8:$AG$8,0))&lt;&gt;""),SUMPRODUCT((配置数据库!$C$10:$C12="售前填写")*(INDEX(配置数据库!$G$10:$AG12,0,MATCH($B$3,配置数据库!$G$8:$AG$8,0))&lt;&gt;"")),"")</f>
        <v>3</v>
      </c>
      <c r="Q7" t="str">
        <f>IF(AND(配置数据库!$C12="默认配置",INDEX(配置数据库!$G12:$AG12,1,MATCH($B$3,配置数据库!$G$8:$AG$8,0))&lt;&gt;""),SUMPRODUCT((配置数据库!$C$10:$C12="默认配置")*(INDEX(配置数据库!$G$10:$AG12,0,MATCH($B$3,配置数据库!$G$8:$AG$8,0))&lt;&gt;"")),"")</f>
        <v/>
      </c>
    </row>
    <row r="8" spans="1:17">
      <c r="A8" s="4" t="s">
        <v>10</v>
      </c>
      <c r="B8" s="4" t="s">
        <v>11</v>
      </c>
      <c r="C8" s="4" t="s">
        <v>12</v>
      </c>
      <c r="D8" s="4" t="s">
        <v>13</v>
      </c>
      <c r="P8" t="str">
        <f>IF(AND(配置数据库!$C13="售前填写",INDEX(配置数据库!$G13:$AG13,1,MATCH($B$3,配置数据库!$G$8:$AG$8,0))&lt;&gt;""),SUMPRODUCT((配置数据库!$C$10:$C13="售前填写")*(INDEX(配置数据库!$G$10:$AG13,0,MATCH($B$3,配置数据库!$G$8:$AG$8,0))&lt;&gt;"")),"")</f>
        <v/>
      </c>
      <c r="Q8" t="str">
        <f>IF(AND(配置数据库!$C13="默认配置",INDEX(配置数据库!$G13:$AG13,1,MATCH($B$3,配置数据库!$G$8:$AG$8,0))&lt;&gt;""),SUMPRODUCT((配置数据库!$C$10:$C13="默认配置")*(INDEX(配置数据库!$G$10:$AG13,0,MATCH($B$3,配置数据库!$G$8:$AG$8,0))&lt;&gt;"")),"")</f>
        <v/>
      </c>
    </row>
    <row r="9" ht="28" customHeight="1" spans="1:17">
      <c r="A9" s="19" t="s">
        <v>14</v>
      </c>
      <c r="P9" t="str">
        <f>IF(AND(配置数据库!$C15="售前填写",INDEX(配置数据库!$G15:$AG15,1,MATCH($B$3,配置数据库!$G$8:$AG$8,0))&lt;&gt;""),SUMPRODUCT((配置数据库!$C$10:$C15="售前填写")*(INDEX(配置数据库!$G$10:$AG15,0,MATCH($B$3,配置数据库!$G$8:$AG$8,0))&lt;&gt;"")),"")</f>
        <v/>
      </c>
      <c r="Q9" t="str">
        <f>IF(AND(配置数据库!$C15="默认配置",INDEX(配置数据库!$G15:$AG15,1,MATCH($B$3,配置数据库!$G$8:$AG$8,0))&lt;&gt;""),SUMPRODUCT((配置数据库!$C$10:$C15="默认配置")*(INDEX(配置数据库!$G$10:$AG15,0,MATCH($B$3,配置数据库!$G$8:$AG$8,0))&lt;&gt;"")),"")</f>
        <v/>
      </c>
    </row>
    <row r="10" ht="28" customHeight="1" spans="1:17">
      <c r="A10" s="17" t="str">
        <f>IFERROR(INDEX(配置数据库!$A:$A,MATCH(1,$P:$P,0)),"")</f>
        <v>项目名称</v>
      </c>
      <c r="B10" s="20">
        <f>IF($A10="","",IFERROR(LEFT(SUBSTITUTE(IFERROR(INDEX(配置数据库!$G:$AG,MATCH(1,$P:$P,0),MATCH($B$3,配置数据库!$G$8:$AG$8,0)),""),";","；"),FIND("；",SUBSTITUTE(IFERROR(INDEX(配置数据库!$G:$AG,MATCH(1,$P:$P,0),MATCH($B$3,配置数据库!$G$8:$AG$8,0)),""),";","；"))-1),IFERROR(INDEX(配置数据库!$G:$AG,MATCH(1,$P:$P,0),MATCH($B$3,配置数据库!$G$8:$AG$8,0)),"")))</f>
        <v>0</v>
      </c>
      <c r="C10" s="20" t="str">
        <f t="shared" ref="C10:C41" si="0">IF($A10="","","售前填写")</f>
        <v>售前填写</v>
      </c>
      <c r="D10" s="20">
        <f>IF($A10="","",IFERROR(INDEX(配置数据库!$B:$B,MATCH(1,$P:$P,0)),""))</f>
        <v>0</v>
      </c>
      <c r="E10">
        <f>IF($A10="","",IFERROR(INDEX(配置数据库!$G:$AG,MATCH($A10,配置数据库!$A:$A,0),MATCH($B$3,配置数据库!$G$8:$AG$8,0)),""))</f>
        <v>0</v>
      </c>
      <c r="F10" t="str">
        <f t="shared" ref="F10:F41" si="1">IF(ISNUMBER(SEARCH("；",SUBSTITUTE($E10,";","；"))),TRIM(MID(SUBSTITUTE(SUBSTITUTE($E10,";","；"),"；",REPT(" ",100)),1,100)),"")</f>
        <v/>
      </c>
      <c r="G10" t="str">
        <f t="shared" ref="G10:G41" si="2">IF(ISNUMBER(SEARCH("；",SUBSTITUTE($E10,";","；"))),TRIM(MID(SUBSTITUTE(SUBSTITUTE($E10,";","；"),"；",REPT(" ",100)),101,100)),"")</f>
        <v/>
      </c>
      <c r="H10" t="str">
        <f t="shared" ref="H10:H41" si="3">IF(ISNUMBER(SEARCH("；",SUBSTITUTE($E10,";","；"))),TRIM(MID(SUBSTITUTE(SUBSTITUTE($E10,";","；"),"；",REPT(" ",100)),201,100)),"")</f>
        <v/>
      </c>
      <c r="I10" t="str">
        <f t="shared" ref="I10:I41" si="4">IF(ISNUMBER(SEARCH("；",SUBSTITUTE($E10,";","；"))),TRIM(MID(SUBSTITUTE(SUBSTITUTE($E10,";","；"),"；",REPT(" ",100)),301,100)),"")</f>
        <v/>
      </c>
      <c r="J10" t="str">
        <f t="shared" ref="J10:J41" si="5">IF(ISNUMBER(SEARCH("；",SUBSTITUTE($E10,";","；"))),TRIM(MID(SUBSTITUTE(SUBSTITUTE($E10,";","；"),"；",REPT(" ",100)),401,100)),"")</f>
        <v/>
      </c>
      <c r="K10" t="str">
        <f t="shared" ref="K10:K41" si="6">IF(ISNUMBER(SEARCH("；",SUBSTITUTE($E10,";","；"))),TRIM(MID(SUBSTITUTE(SUBSTITUTE($E10,";","；"),"；",REPT(" ",100)),501,100)),"")</f>
        <v/>
      </c>
      <c r="L10" t="str">
        <f t="shared" ref="L10:L41" si="7">IF(ISNUMBER(SEARCH("；",SUBSTITUTE($E10,";","；"))),TRIM(MID(SUBSTITUTE(SUBSTITUTE($E10,";","；"),"；",REPT(" ",100)),601,100)),"")</f>
        <v/>
      </c>
      <c r="M10" t="str">
        <f t="shared" ref="M10:M41" si="8">IF(ISNUMBER(SEARCH("；",SUBSTITUTE($E10,";","；"))),TRIM(MID(SUBSTITUTE(SUBSTITUTE($E10,";","；"),"；",REPT(" ",100)),701,100)),"")</f>
        <v/>
      </c>
      <c r="N10" t="str">
        <f t="shared" ref="N10:N41" si="9">IF(ISNUMBER(SEARCH("；",SUBSTITUTE($E10,";","；"))),TRIM(MID(SUBSTITUTE(SUBSTITUTE($E10,";","；"),"；",REPT(" ",100)),801,100)),"")</f>
        <v/>
      </c>
      <c r="O10" t="str">
        <f t="shared" ref="O10:O41" si="10">IF(ISNUMBER(SEARCH("；",SUBSTITUTE($E10,";","；"))),TRIM(MID(SUBSTITUTE(SUBSTITUTE($E10,";","；"),"；",REPT(" ",100)),901,100)),"")</f>
        <v/>
      </c>
      <c r="P10" t="str">
        <f>IF(AND(配置数据库!$C16="售前填写",INDEX(配置数据库!$G16:$AG16,1,MATCH($B$3,配置数据库!$G$8:$AG$8,0))&lt;&gt;""),SUMPRODUCT((配置数据库!$C$10:$C16="售前填写")*(INDEX(配置数据库!$G$10:$AG16,0,MATCH($B$3,配置数据库!$G$8:$AG$8,0))&lt;&gt;"")),"")</f>
        <v/>
      </c>
      <c r="Q10" t="str">
        <f>IF(AND(配置数据库!$C16="默认配置",INDEX(配置数据库!$G16:$AG16,1,MATCH($B$3,配置数据库!$G$8:$AG$8,0))&lt;&gt;""),SUMPRODUCT((配置数据库!$C$10:$C16="默认配置")*(INDEX(配置数据库!$G$10:$AG16,0,MATCH($B$3,配置数据库!$G$8:$AG$8,0))&lt;&gt;"")),"")</f>
        <v/>
      </c>
    </row>
    <row r="11" ht="28" customHeight="1" spans="1:17">
      <c r="A11" s="17" t="str">
        <f>IFERROR(INDEX(配置数据库!$A:$A,MATCH(2,$P:$P,0)),"")</f>
        <v>发货时间</v>
      </c>
      <c r="B11" s="20">
        <f>IF($A11="","",IFERROR(LEFT(SUBSTITUTE(IFERROR(INDEX(配置数据库!$G:$AG,MATCH(2,$P:$P,0),MATCH($B$3,配置数据库!$G$8:$AG$8,0)),""),";","；"),FIND("；",SUBSTITUTE(IFERROR(INDEX(配置数据库!$G:$AG,MATCH(2,$P:$P,0),MATCH($B$3,配置数据库!$G$8:$AG$8,0)),""),";","；"))-1),IFERROR(INDEX(配置数据库!$G:$AG,MATCH(2,$P:$P,0),MATCH($B$3,配置数据库!$G$8:$AG$8,0)),"")))</f>
        <v>0</v>
      </c>
      <c r="C11" s="20" t="str">
        <f t="shared" si="0"/>
        <v>售前填写</v>
      </c>
      <c r="D11" s="20">
        <f>IF($A11="","",IFERROR(INDEX(配置数据库!$B:$B,MATCH(2,$P:$P,0)),""))</f>
        <v>0</v>
      </c>
      <c r="E11">
        <f>IF($A11="","",IFERROR(INDEX(配置数据库!$G:$AG,MATCH($A11,配置数据库!$A:$A,0),MATCH($B$3,配置数据库!$G$8:$AG$8,0)),""))</f>
        <v>0</v>
      </c>
      <c r="F11" t="str">
        <f t="shared" si="1"/>
        <v/>
      </c>
      <c r="G11" t="str">
        <f t="shared" si="2"/>
        <v/>
      </c>
      <c r="H11" t="str">
        <f t="shared" si="3"/>
        <v/>
      </c>
      <c r="I11" t="str">
        <f t="shared" si="4"/>
        <v/>
      </c>
      <c r="J11" t="str">
        <f t="shared" si="5"/>
        <v/>
      </c>
      <c r="K11" t="str">
        <f t="shared" si="6"/>
        <v/>
      </c>
      <c r="L11" t="str">
        <f t="shared" si="7"/>
        <v/>
      </c>
      <c r="M11" t="str">
        <f t="shared" si="8"/>
        <v/>
      </c>
      <c r="N11" t="str">
        <f t="shared" si="9"/>
        <v/>
      </c>
      <c r="O11" t="str">
        <f t="shared" si="10"/>
        <v/>
      </c>
      <c r="P11">
        <f>IF(AND(配置数据库!$C19="售前填写",INDEX(配置数据库!$G19:$AG19,1,MATCH($B$3,配置数据库!$G$8:$AG$8,0))&lt;&gt;""),SUMPRODUCT((配置数据库!$C$10:$C19="售前填写")*(INDEX(配置数据库!$G$10:$AG19,0,MATCH($B$3,配置数据库!$G$8:$AG$8,0))&lt;&gt;"")),"")</f>
        <v>5</v>
      </c>
      <c r="Q11" t="str">
        <f>IF(AND(配置数据库!$C19="默认配置",INDEX(配置数据库!$G19:$AG19,1,MATCH($B$3,配置数据库!$G$8:$AG$8,0))&lt;&gt;""),SUMPRODUCT((配置数据库!$C$10:$C19="默认配置")*(INDEX(配置数据库!$G$10:$AG19,0,MATCH($B$3,配置数据库!$G$8:$AG$8,0))&lt;&gt;"")),"")</f>
        <v/>
      </c>
    </row>
    <row r="12" ht="28" customHeight="1" spans="1:17">
      <c r="A12" s="17" t="str">
        <f>IFERROR(INDEX(配置数据库!$A:$A,MATCH(3,$P:$P,0)),"")</f>
        <v>售前</v>
      </c>
      <c r="B12" s="20" t="s">
        <v>15</v>
      </c>
      <c r="C12" s="20" t="str">
        <f t="shared" si="0"/>
        <v>售前填写</v>
      </c>
      <c r="D12" s="20">
        <f>IF($A12="","",IFERROR(INDEX(配置数据库!$B:$B,MATCH(3,$P:$P,0)),""))</f>
        <v>0</v>
      </c>
      <c r="E12">
        <f>IF($A12="","",IFERROR(INDEX(配置数据库!$G:$AG,MATCH($A12,配置数据库!$A:$A,0),MATCH($B$3,配置数据库!$G$8:$AG$8,0)),""))</f>
        <v>0</v>
      </c>
      <c r="F12" t="str">
        <f t="shared" si="1"/>
        <v/>
      </c>
      <c r="G12" t="str">
        <f t="shared" si="2"/>
        <v/>
      </c>
      <c r="H12" t="str">
        <f t="shared" si="3"/>
        <v/>
      </c>
      <c r="I12" t="str">
        <f t="shared" si="4"/>
        <v/>
      </c>
      <c r="J12" t="str">
        <f t="shared" si="5"/>
        <v/>
      </c>
      <c r="K12" t="str">
        <f t="shared" si="6"/>
        <v/>
      </c>
      <c r="L12" t="str">
        <f t="shared" si="7"/>
        <v/>
      </c>
      <c r="M12" t="str">
        <f t="shared" si="8"/>
        <v/>
      </c>
      <c r="N12" t="str">
        <f t="shared" si="9"/>
        <v/>
      </c>
      <c r="O12" t="str">
        <f t="shared" si="10"/>
        <v/>
      </c>
      <c r="P12" t="str">
        <f>IF(AND(配置数据库!$C20="售前填写",INDEX(配置数据库!$G20:$AG20,1,MATCH($B$3,配置数据库!$G$8:$AG$8,0))&lt;&gt;""),SUMPRODUCT((配置数据库!$C$10:$C20="售前填写")*(INDEX(配置数据库!$G$10:$AG20,0,MATCH($B$3,配置数据库!$G$8:$AG$8,0))&lt;&gt;"")),"")</f>
        <v/>
      </c>
      <c r="Q12" t="str">
        <f>IF(AND(配置数据库!$C20="默认配置",INDEX(配置数据库!$G20:$AG20,1,MATCH($B$3,配置数据库!$G$8:$AG$8,0))&lt;&gt;""),SUMPRODUCT((配置数据库!$C$10:$C20="默认配置")*(INDEX(配置数据库!$G$10:$AG20,0,MATCH($B$3,配置数据库!$G$8:$AG$8,0))&lt;&gt;"")),"")</f>
        <v/>
      </c>
    </row>
    <row r="13" ht="28" customHeight="1" spans="1:17">
      <c r="A13" s="17" t="str">
        <f>IFERROR(INDEX(配置数据库!$A:$A,MATCH(4,$P:$P,0)),"")</f>
        <v/>
      </c>
      <c r="B13" s="20" t="str">
        <f>IF($A13="","",IFERROR(LEFT(SUBSTITUTE(IFERROR(INDEX(配置数据库!$G:$AG,MATCH(4,$P:$P,0),MATCH($B$3,配置数据库!$G$8:$AG$8,0)),""),";","；"),FIND("；",SUBSTITUTE(IFERROR(INDEX(配置数据库!$G:$AG,MATCH(4,$P:$P,0),MATCH($B$3,配置数据库!$G$8:$AG$8,0)),""),";","；"))-1),IFERROR(INDEX(配置数据库!$G:$AG,MATCH(4,$P:$P,0),MATCH($B$3,配置数据库!$G$8:$AG$8,0)),"")))</f>
        <v/>
      </c>
      <c r="C13" s="20" t="str">
        <f t="shared" si="0"/>
        <v/>
      </c>
      <c r="D13" s="20" t="str">
        <f>IF($A13="","",IFERROR(INDEX(配置数据库!$B:$B,MATCH(4,$P:$P,0)),""))</f>
        <v/>
      </c>
      <c r="E13" t="str">
        <f>IF($A13="","",IFERROR(INDEX(配置数据库!$G:$AG,MATCH($A13,配置数据库!$A:$A,0),MATCH($B$3,配置数据库!$G$8:$AG$8,0)),""))</f>
        <v/>
      </c>
      <c r="F13" t="str">
        <f t="shared" si="1"/>
        <v/>
      </c>
      <c r="G13" t="str">
        <f t="shared" si="2"/>
        <v/>
      </c>
      <c r="H13" t="str">
        <f t="shared" si="3"/>
        <v/>
      </c>
      <c r="I13" t="str">
        <f t="shared" si="4"/>
        <v/>
      </c>
      <c r="J13" t="str">
        <f t="shared" si="5"/>
        <v/>
      </c>
      <c r="K13" t="str">
        <f t="shared" si="6"/>
        <v/>
      </c>
      <c r="L13" t="str">
        <f t="shared" si="7"/>
        <v/>
      </c>
      <c r="M13" t="str">
        <f t="shared" si="8"/>
        <v/>
      </c>
      <c r="N13" t="str">
        <f t="shared" si="9"/>
        <v/>
      </c>
      <c r="O13" t="str">
        <f t="shared" si="10"/>
        <v/>
      </c>
      <c r="P13" t="e">
        <f>IF(AND(配置数据库!#REF!="售前填写",INDEX(配置数据库!#REF!,1,MATCH($B$3,配置数据库!$G$8:$AG$8,0))&lt;&gt;""),SUMPRODUCT((配置数据库!$C$10:$C20="售前填写")*(INDEX(配置数据库!$G$10:$AG20,0,MATCH($B$3,配置数据库!$G$8:$AG$8,0))&lt;&gt;"")),"")</f>
        <v>#REF!</v>
      </c>
      <c r="Q13" t="e">
        <f>IF(AND(配置数据库!#REF!="默认配置",INDEX(配置数据库!#REF!,1,MATCH($B$3,配置数据库!$G$8:$AG$8,0))&lt;&gt;""),SUMPRODUCT((配置数据库!$C$10:$C20="默认配置")*(INDEX(配置数据库!$G$10:$AG20,0,MATCH($B$3,配置数据库!$G$8:$AG$8,0))&lt;&gt;"")),"")</f>
        <v>#REF!</v>
      </c>
    </row>
    <row r="14" ht="28" customHeight="1" spans="1:17">
      <c r="A14" s="17" t="str">
        <f>IFERROR(INDEX(配置数据库!$A:$A,MATCH(5,$P:$P,0)),"")</f>
        <v>货叉外宽要求（mm）</v>
      </c>
      <c r="B14" s="20" t="str">
        <f>IF($A14="","",IFERROR(LEFT(SUBSTITUTE(IFERROR(INDEX(配置数据库!$G:$AG,MATCH(5,$P:$P,0),MATCH($B$3,配置数据库!$G$8:$AG$8,0)),""),";","；"),FIND("；",SUBSTITUTE(IFERROR(INDEX(配置数据库!$G:$AG,MATCH(5,$P:$P,0),MATCH($B$3,配置数据库!$G$8:$AG$8,0)),""),";","；"))-1),IFERROR(INDEX(配置数据库!$G:$AG,MATCH(5,$P:$P,0),MATCH($B$3,配置数据库!$G$8:$AG$8,0)),"")))</f>
        <v>560/660</v>
      </c>
      <c r="C14" s="20" t="str">
        <f t="shared" si="0"/>
        <v>售前填写</v>
      </c>
      <c r="D14" s="20" t="str">
        <f>IF($A14="","",IFERROR(INDEX(配置数据库!$B:$B,MATCH(5,$P:$P,0)),""))</f>
        <v/>
      </c>
      <c r="E14" t="str">
        <f>IF($A14="","",IFERROR(INDEX(配置数据库!$G:$AG,MATCH($A14,配置数据库!$A:$A,0),MATCH($B$3,配置数据库!$G$8:$AG$8,0)),""))</f>
        <v>560/660</v>
      </c>
      <c r="F14" t="str">
        <f t="shared" si="1"/>
        <v/>
      </c>
      <c r="G14" t="str">
        <f t="shared" si="2"/>
        <v/>
      </c>
      <c r="H14" t="str">
        <f t="shared" si="3"/>
        <v/>
      </c>
      <c r="I14" t="str">
        <f t="shared" si="4"/>
        <v/>
      </c>
      <c r="J14" t="str">
        <f t="shared" si="5"/>
        <v/>
      </c>
      <c r="K14" t="str">
        <f t="shared" si="6"/>
        <v/>
      </c>
      <c r="L14" t="str">
        <f t="shared" si="7"/>
        <v/>
      </c>
      <c r="M14" t="str">
        <f t="shared" si="8"/>
        <v/>
      </c>
      <c r="N14" t="str">
        <f t="shared" si="9"/>
        <v/>
      </c>
      <c r="O14" t="str">
        <f t="shared" si="10"/>
        <v/>
      </c>
      <c r="P14" t="e">
        <f>IF(AND(配置数据库!#REF!="售前填写",INDEX(配置数据库!#REF!,1,MATCH($B$3,配置数据库!$G$8:$AG$8,0))&lt;&gt;""),SUMPRODUCT((配置数据库!$C$10:$C20="售前填写")*(INDEX(配置数据库!$G$10:$AG20,0,MATCH($B$3,配置数据库!$G$8:$AG$8,0))&lt;&gt;"")),"")</f>
        <v>#REF!</v>
      </c>
      <c r="Q14" t="e">
        <f>IF(AND(配置数据库!#REF!="默认配置",INDEX(配置数据库!#REF!,1,MATCH($B$3,配置数据库!$G$8:$AG$8,0))&lt;&gt;""),SUMPRODUCT((配置数据库!$C$10:$C20="默认配置")*(INDEX(配置数据库!$G$10:$AG20,0,MATCH($B$3,配置数据库!$G$8:$AG$8,0))&lt;&gt;"")),"")</f>
        <v>#REF!</v>
      </c>
    </row>
    <row r="15" ht="28" customHeight="1" spans="1:17">
      <c r="A15" s="17" t="str">
        <f>IFERROR(INDEX(配置数据库!$A:$A,MATCH(6,$P:$P,0)),"")</f>
        <v/>
      </c>
      <c r="B15" s="20" t="str">
        <f>IF($A15="","",IFERROR(LEFT(SUBSTITUTE(IFERROR(INDEX(配置数据库!$G:$AG,MATCH(6,$P:$P,0),MATCH($B$3,配置数据库!$G$8:$AG$8,0)),""),";","；"),FIND("；",SUBSTITUTE(IFERROR(INDEX(配置数据库!$G:$AG,MATCH(6,$P:$P,0),MATCH($B$3,配置数据库!$G$8:$AG$8,0)),""),";","；"))-1),IFERROR(INDEX(配置数据库!$G:$AG,MATCH(6,$P:$P,0),MATCH($B$3,配置数据库!$G$8:$AG$8,0)),"")))</f>
        <v/>
      </c>
      <c r="C15" s="20" t="str">
        <f t="shared" si="0"/>
        <v/>
      </c>
      <c r="D15" s="20" t="str">
        <f>IF($A15="","",IFERROR(INDEX(配置数据库!$B:$B,MATCH(6,$P:$P,0)),""))</f>
        <v/>
      </c>
      <c r="E15" t="str">
        <f>IF($A15="","",IFERROR(INDEX(配置数据库!$G:$AG,MATCH($A15,配置数据库!$A:$A,0),MATCH($B$3,配置数据库!$G$8:$AG$8,0)),""))</f>
        <v/>
      </c>
      <c r="F15" t="str">
        <f t="shared" si="1"/>
        <v/>
      </c>
      <c r="G15" t="str">
        <f t="shared" si="2"/>
        <v/>
      </c>
      <c r="H15" t="str">
        <f t="shared" si="3"/>
        <v/>
      </c>
      <c r="I15" t="str">
        <f t="shared" si="4"/>
        <v/>
      </c>
      <c r="J15" t="str">
        <f t="shared" si="5"/>
        <v/>
      </c>
      <c r="K15" t="str">
        <f t="shared" si="6"/>
        <v/>
      </c>
      <c r="L15" t="str">
        <f t="shared" si="7"/>
        <v/>
      </c>
      <c r="M15" t="str">
        <f t="shared" si="8"/>
        <v/>
      </c>
      <c r="N15" t="str">
        <f t="shared" si="9"/>
        <v/>
      </c>
      <c r="O15" t="str">
        <f t="shared" si="10"/>
        <v/>
      </c>
      <c r="P15" t="str">
        <f>IF(AND(配置数据库!$C21="售前填写",INDEX(配置数据库!$G21:$AG21,1,MATCH($B$3,配置数据库!$G$8:$AG$8,0))&lt;&gt;""),SUMPRODUCT((配置数据库!$C$10:$C21="售前填写")*(INDEX(配置数据库!$G$10:$AG21,0,MATCH($B$3,配置数据库!$G$8:$AG$8,0))&lt;&gt;"")),"")</f>
        <v/>
      </c>
      <c r="Q15" t="str">
        <f>IF(AND(配置数据库!$C21="默认配置",INDEX(配置数据库!$G21:$AG21,1,MATCH($B$3,配置数据库!$G$8:$AG$8,0))&lt;&gt;""),SUMPRODUCT((配置数据库!$C$10:$C21="默认配置")*(INDEX(配置数据库!$G$10:$AG21,0,MATCH($B$3,配置数据库!$G$8:$AG$8,0))&lt;&gt;"")),"")</f>
        <v/>
      </c>
    </row>
    <row r="16" ht="28" customHeight="1" spans="1:17">
      <c r="A16" s="17" t="str">
        <f>IFERROR(INDEX(配置数据库!$A:$A,MATCH(7,$P:$P,0)),"")</f>
        <v/>
      </c>
      <c r="B16" s="20" t="str">
        <f>IF($A16="","",IFERROR(LEFT(SUBSTITUTE(IFERROR(INDEX(配置数据库!$G:$AG,MATCH(7,$P:$P,0),MATCH($B$3,配置数据库!$G$8:$AG$8,0)),""),";","；"),FIND("；",SUBSTITUTE(IFERROR(INDEX(配置数据库!$G:$AG,MATCH(7,$P:$P,0),MATCH($B$3,配置数据库!$G$8:$AG$8,0)),""),";","；"))-1),IFERROR(INDEX(配置数据库!$G:$AG,MATCH(7,$P:$P,0),MATCH($B$3,配置数据库!$G$8:$AG$8,0)),"")))</f>
        <v/>
      </c>
      <c r="C16" s="20" t="str">
        <f t="shared" si="0"/>
        <v/>
      </c>
      <c r="D16" s="20" t="str">
        <f>IF($A16="","",IFERROR(INDEX(配置数据库!$B:$B,MATCH(7,$P:$P,0)),""))</f>
        <v/>
      </c>
      <c r="E16" t="str">
        <f>IF($A16="","",IFERROR(INDEX(配置数据库!$G:$AG,MATCH($A16,配置数据库!$A:$A,0),MATCH($B$3,配置数据库!$G$8:$AG$8,0)),""))</f>
        <v/>
      </c>
      <c r="F16" t="str">
        <f t="shared" si="1"/>
        <v/>
      </c>
      <c r="G16" t="str">
        <f t="shared" si="2"/>
        <v/>
      </c>
      <c r="H16" t="str">
        <f t="shared" si="3"/>
        <v/>
      </c>
      <c r="I16" t="str">
        <f t="shared" si="4"/>
        <v/>
      </c>
      <c r="J16" t="str">
        <f t="shared" si="5"/>
        <v/>
      </c>
      <c r="K16" t="str">
        <f t="shared" si="6"/>
        <v/>
      </c>
      <c r="L16" t="str">
        <f t="shared" si="7"/>
        <v/>
      </c>
      <c r="M16" t="str">
        <f t="shared" si="8"/>
        <v/>
      </c>
      <c r="N16" t="str">
        <f t="shared" si="9"/>
        <v/>
      </c>
      <c r="O16" t="str">
        <f t="shared" si="10"/>
        <v/>
      </c>
      <c r="P16" t="str">
        <f>IF(AND(配置数据库!$C22="售前填写",INDEX(配置数据库!$G22:$AG22,1,MATCH($B$3,配置数据库!$G$8:$AG$8,0))&lt;&gt;""),SUMPRODUCT((配置数据库!$C$10:$C22="售前填写")*(INDEX(配置数据库!$G$10:$AG22,0,MATCH($B$3,配置数据库!$G$8:$AG$8,0))&lt;&gt;"")),"")</f>
        <v/>
      </c>
      <c r="Q16" t="str">
        <f>IF(AND(配置数据库!$C22="默认配置",INDEX(配置数据库!$G22:$AG22,1,MATCH($B$3,配置数据库!$G$8:$AG$8,0))&lt;&gt;""),SUMPRODUCT((配置数据库!$C$10:$C22="默认配置")*(INDEX(配置数据库!$G$10:$AG22,0,MATCH($B$3,配置数据库!$G$8:$AG$8,0))&lt;&gt;"")),"")</f>
        <v/>
      </c>
    </row>
    <row r="17" ht="28" customHeight="1" spans="1:17">
      <c r="A17" s="17" t="str">
        <f>IFERROR(INDEX(配置数据库!$A:$A,MATCH(8,$P:$P,0)),"")</f>
        <v>托盘驼峰</v>
      </c>
      <c r="B17" s="7">
        <f>IF($A17="","",IFERROR(LEFT(SUBSTITUTE(IFERROR(INDEX(配置数据库!$G:$AG,MATCH(8,$P:$P,0),MATCH($B$3,配置数据库!$G$8:$AG$8,0)),""),";","；"),FIND("；",SUBSTITUTE(IFERROR(INDEX(配置数据库!$G:$AG,MATCH(8,$P:$P,0),MATCH($B$3,配置数据库!$G$8:$AG$8,0)),""),";","；"))-1),IFERROR(INDEX(配置数据库!$G:$AG,MATCH(8,$P:$P,0),MATCH($B$3,配置数据库!$G$8:$AG$8,0)),"")))</f>
        <v>0</v>
      </c>
      <c r="C17" s="20" t="str">
        <f t="shared" si="0"/>
        <v>售前填写</v>
      </c>
      <c r="D17" s="20">
        <f>IF($A17="","",IFERROR(INDEX(配置数据库!$B:$B,MATCH(8,$P:$P,0)),""))</f>
        <v>0</v>
      </c>
      <c r="E17">
        <f>IF($A17="","",IFERROR(INDEX(配置数据库!$G:$AG,MATCH($A17,配置数据库!$A:$A,0),MATCH($B$3,配置数据库!$G$8:$AG$8,0)),""))</f>
        <v>0</v>
      </c>
      <c r="F17" t="str">
        <f t="shared" si="1"/>
        <v/>
      </c>
      <c r="G17" t="str">
        <f t="shared" si="2"/>
        <v/>
      </c>
      <c r="H17" t="str">
        <f t="shared" si="3"/>
        <v/>
      </c>
      <c r="I17" t="str">
        <f t="shared" si="4"/>
        <v/>
      </c>
      <c r="J17" t="str">
        <f t="shared" si="5"/>
        <v/>
      </c>
      <c r="K17" t="str">
        <f t="shared" si="6"/>
        <v/>
      </c>
      <c r="L17" t="str">
        <f t="shared" si="7"/>
        <v/>
      </c>
      <c r="M17" t="str">
        <f t="shared" si="8"/>
        <v/>
      </c>
      <c r="N17" t="str">
        <f t="shared" si="9"/>
        <v/>
      </c>
      <c r="O17" t="str">
        <f t="shared" si="10"/>
        <v/>
      </c>
      <c r="P17" t="str">
        <f>IF(AND(配置数据库!$C23="售前填写",INDEX(配置数据库!$G23:$AG23,1,MATCH($B$3,配置数据库!$G$8:$AG$8,0))&lt;&gt;""),SUMPRODUCT((配置数据库!$C$10:$C23="售前填写")*(INDEX(配置数据库!$G$10:$AG23,0,MATCH($B$3,配置数据库!$G$8:$AG$8,0))&lt;&gt;"")),"")</f>
        <v/>
      </c>
      <c r="Q17" t="str">
        <f>IF(AND(配置数据库!$C23="默认配置",INDEX(配置数据库!$G23:$AG23,1,MATCH($B$3,配置数据库!$G$8:$AG$8,0))&lt;&gt;""),SUMPRODUCT((配置数据库!$C$10:$C23="默认配置")*(INDEX(配置数据库!$G$10:$AG23,0,MATCH($B$3,配置数据库!$G$8:$AG$8,0))&lt;&gt;"")),"")</f>
        <v/>
      </c>
    </row>
    <row r="18" ht="28" customHeight="1" spans="1:17">
      <c r="A18" s="17" t="str">
        <f>IFERROR(INDEX(配置数据库!$A:$A,MATCH(9,$P:$P,0)),"")</f>
        <v/>
      </c>
      <c r="B18" s="20" t="s">
        <v>16</v>
      </c>
      <c r="C18" s="20" t="str">
        <f t="shared" si="0"/>
        <v/>
      </c>
      <c r="D18" s="20" t="str">
        <f>IF($A18="","",IFERROR(INDEX(配置数据库!$B:$B,MATCH(9,$P:$P,0)),""))</f>
        <v/>
      </c>
      <c r="E18" t="str">
        <f>IF($A18="","",IFERROR(INDEX(配置数据库!$G:$AG,MATCH($A18,配置数据库!$A:$A,0),MATCH($B$3,配置数据库!$G$8:$AG$8,0)),""))</f>
        <v/>
      </c>
      <c r="F18" t="str">
        <f t="shared" si="1"/>
        <v/>
      </c>
      <c r="G18" t="str">
        <f t="shared" si="2"/>
        <v/>
      </c>
      <c r="H18" t="str">
        <f t="shared" si="3"/>
        <v/>
      </c>
      <c r="I18" t="str">
        <f t="shared" si="4"/>
        <v/>
      </c>
      <c r="J18" t="str">
        <f t="shared" si="5"/>
        <v/>
      </c>
      <c r="K18" t="str">
        <f t="shared" si="6"/>
        <v/>
      </c>
      <c r="L18" t="str">
        <f t="shared" si="7"/>
        <v/>
      </c>
      <c r="M18" t="str">
        <f t="shared" si="8"/>
        <v/>
      </c>
      <c r="N18" t="str">
        <f t="shared" si="9"/>
        <v/>
      </c>
      <c r="O18" t="str">
        <f t="shared" si="10"/>
        <v/>
      </c>
      <c r="P18" t="str">
        <f>IF(AND(配置数据库!$C24="售前填写",INDEX(配置数据库!$G24:$AG24,1,MATCH($B$3,配置数据库!$G$8:$AG$8,0))&lt;&gt;""),SUMPRODUCT((配置数据库!$C$10:$C24="售前填写")*(INDEX(配置数据库!$G$10:$AG24,0,MATCH($B$3,配置数据库!$G$8:$AG$8,0))&lt;&gt;"")),"")</f>
        <v/>
      </c>
      <c r="Q18" t="str">
        <f>IF(AND(配置数据库!$C24="默认配置",INDEX(配置数据库!$G24:$AG24,1,MATCH($B$3,配置数据库!$G$8:$AG$8,0))&lt;&gt;""),SUMPRODUCT((配置数据库!$C$10:$C24="默认配置")*(INDEX(配置数据库!$G$10:$AG24,0,MATCH($B$3,配置数据库!$G$8:$AG$8,0))&lt;&gt;"")),"")</f>
        <v/>
      </c>
    </row>
    <row r="19" ht="28" customHeight="1" spans="1:17">
      <c r="A19" s="17" t="str">
        <f>IFERROR(INDEX(配置数据库!$A:$A,MATCH(10,$P:$P,0)),"")</f>
        <v>牵引机构</v>
      </c>
      <c r="B19" s="20" t="str">
        <f>IF($A19="","",IFERROR(LEFT(SUBSTITUTE(IFERROR(INDEX(配置数据库!$G:$AG,MATCH(10,$P:$P,0),MATCH($B$3,配置数据库!$G$8:$AG$8,0)),""),";","；"),FIND("；",SUBSTITUTE(IFERROR(INDEX(配置数据库!$G:$AG,MATCH(10,$P:$P,0),MATCH($B$3,配置数据库!$G$8:$AG$8,0)),""),";","；"))-1),IFERROR(INDEX(配置数据库!$G:$AG,MATCH(10,$P:$P,0),MATCH($B$3,配置数据库!$G$8:$AG$8,0)),"")))</f>
        <v/>
      </c>
      <c r="C19" s="20" t="str">
        <f t="shared" si="0"/>
        <v>售前填写</v>
      </c>
      <c r="D19" s="20" t="str">
        <f>IF($A19="","",IFERROR(INDEX(配置数据库!$B:$B,MATCH(10,$P:$P,0)),""))</f>
        <v/>
      </c>
      <c r="E19" t="str">
        <f>IF($A19="","",IFERROR(INDEX(配置数据库!$G:$AG,MATCH($A19,配置数据库!$A:$A,0),MATCH($B$3,配置数据库!$G$8:$AG$8,0)),""))</f>
        <v/>
      </c>
      <c r="F19" t="str">
        <f t="shared" si="1"/>
        <v/>
      </c>
      <c r="G19" t="str">
        <f t="shared" si="2"/>
        <v/>
      </c>
      <c r="H19" t="str">
        <f t="shared" si="3"/>
        <v/>
      </c>
      <c r="I19" t="str">
        <f t="shared" si="4"/>
        <v/>
      </c>
      <c r="J19" t="str">
        <f t="shared" si="5"/>
        <v/>
      </c>
      <c r="K19" t="str">
        <f t="shared" si="6"/>
        <v/>
      </c>
      <c r="L19" t="str">
        <f t="shared" si="7"/>
        <v/>
      </c>
      <c r="M19" t="str">
        <f t="shared" si="8"/>
        <v/>
      </c>
      <c r="N19" t="str">
        <f t="shared" si="9"/>
        <v/>
      </c>
      <c r="O19" t="str">
        <f t="shared" si="10"/>
        <v/>
      </c>
      <c r="P19" t="e">
        <f>IF(AND(配置数据库!#REF!="售前填写",INDEX(配置数据库!#REF!,1,MATCH($B$3,配置数据库!$G$8:$AG$8,0))&lt;&gt;""),SUMPRODUCT((配置数据库!$C$10:$C24="售前填写")*(INDEX(配置数据库!$G$10:$AG24,0,MATCH($B$3,配置数据库!$G$8:$AG$8,0))&lt;&gt;"")),"")</f>
        <v>#REF!</v>
      </c>
      <c r="Q19" t="e">
        <f>IF(AND(配置数据库!#REF!="默认配置",INDEX(配置数据库!#REF!,1,MATCH($B$3,配置数据库!$G$8:$AG$8,0))&lt;&gt;""),SUMPRODUCT((配置数据库!$C$10:$C24="默认配置")*(INDEX(配置数据库!$G$10:$AG24,0,MATCH($B$3,配置数据库!$G$8:$AG$8,0))&lt;&gt;"")),"")</f>
        <v>#REF!</v>
      </c>
    </row>
    <row r="20" ht="28" customHeight="1" spans="1:17">
      <c r="A20" s="17" t="str">
        <f>IFERROR(INDEX(配置数据库!$A:$A,MATCH(11,$P:$P,0)),"")</f>
        <v/>
      </c>
      <c r="B20" s="20" t="str">
        <f>IF($A20="","",IFERROR(LEFT(SUBSTITUTE(IFERROR(INDEX(配置数据库!$G:$AG,MATCH(11,$P:$P,0),MATCH($B$3,配置数据库!$G$8:$AG$8,0)),""),";","；"),FIND("；",SUBSTITUTE(IFERROR(INDEX(配置数据库!$G:$AG,MATCH(11,$P:$P,0),MATCH($B$3,配置数据库!$G$8:$AG$8,0)),""),";","；"))-1),IFERROR(INDEX(配置数据库!$G:$AG,MATCH(11,$P:$P,0),MATCH($B$3,配置数据库!$G$8:$AG$8,0)),"")))</f>
        <v/>
      </c>
      <c r="C20" s="20" t="str">
        <f t="shared" si="0"/>
        <v/>
      </c>
      <c r="D20" s="20" t="str">
        <f>IF($A20="","",IFERROR(INDEX(配置数据库!$B:$B,MATCH(11,$P:$P,0)),""))</f>
        <v/>
      </c>
      <c r="E20" t="str">
        <f>IF($A20="","",IFERROR(INDEX(配置数据库!$G:$AG,MATCH($A20,配置数据库!$A:$A,0),MATCH($B$3,配置数据库!$G$8:$AG$8,0)),""))</f>
        <v/>
      </c>
      <c r="F20" t="str">
        <f t="shared" si="1"/>
        <v/>
      </c>
      <c r="G20" t="str">
        <f t="shared" si="2"/>
        <v/>
      </c>
      <c r="H20" t="str">
        <f t="shared" si="3"/>
        <v/>
      </c>
      <c r="I20" t="str">
        <f t="shared" si="4"/>
        <v/>
      </c>
      <c r="J20" t="str">
        <f t="shared" si="5"/>
        <v/>
      </c>
      <c r="K20" t="str">
        <f t="shared" si="6"/>
        <v/>
      </c>
      <c r="L20" t="str">
        <f t="shared" si="7"/>
        <v/>
      </c>
      <c r="M20" t="str">
        <f t="shared" si="8"/>
        <v/>
      </c>
      <c r="N20" t="str">
        <f t="shared" si="9"/>
        <v/>
      </c>
      <c r="O20" t="str">
        <f t="shared" si="10"/>
        <v/>
      </c>
      <c r="P20" t="e">
        <f>IF(AND(配置数据库!#REF!="售前填写",INDEX(配置数据库!#REF!,1,MATCH($B$3,配置数据库!$G$8:$AG$8,0))&lt;&gt;""),SUMPRODUCT((配置数据库!$C$10:$C24="售前填写")*(INDEX(配置数据库!$G$10:$AG24,0,MATCH($B$3,配置数据库!$G$8:$AG$8,0))&lt;&gt;"")),"")</f>
        <v>#REF!</v>
      </c>
      <c r="Q20" t="e">
        <f>IF(AND(配置数据库!#REF!="默认配置",INDEX(配置数据库!#REF!,1,MATCH($B$3,配置数据库!$G$8:$AG$8,0))&lt;&gt;""),SUMPRODUCT((配置数据库!$C$10:$C24="默认配置")*(INDEX(配置数据库!$G$10:$AG24,0,MATCH($B$3,配置数据库!$G$8:$AG$8,0))&lt;&gt;"")),"")</f>
        <v>#REF!</v>
      </c>
    </row>
    <row r="21" ht="28" customHeight="1" spans="1:17">
      <c r="A21" s="17" t="str">
        <f>IFERROR(INDEX(配置数据库!$A:$A,MATCH(12,$P:$P,0)),"")</f>
        <v/>
      </c>
      <c r="B21" s="20" t="str">
        <f>IF($A21="","",IFERROR(LEFT(SUBSTITUTE(IFERROR(INDEX(配置数据库!$G:$AG,MATCH(12,$P:$P,0),MATCH($B$3,配置数据库!$G$8:$AG$8,0)),""),";","；"),FIND("；",SUBSTITUTE(IFERROR(INDEX(配置数据库!$G:$AG,MATCH(12,$P:$P,0),MATCH($B$3,配置数据库!$G$8:$AG$8,0)),""),";","；"))-1),IFERROR(INDEX(配置数据库!$G:$AG,MATCH(12,$P:$P,0),MATCH($B$3,配置数据库!$G$8:$AG$8,0)),"")))</f>
        <v/>
      </c>
      <c r="C21" s="20" t="str">
        <f t="shared" si="0"/>
        <v/>
      </c>
      <c r="D21" s="20" t="str">
        <f>IF($A21="","",IFERROR(INDEX(配置数据库!$B:$B,MATCH(12,$P:$P,0)),""))</f>
        <v/>
      </c>
      <c r="E21" t="str">
        <f>IF($A21="","",IFERROR(INDEX(配置数据库!$G:$AG,MATCH($A21,配置数据库!$A:$A,0),MATCH($B$3,配置数据库!$G$8:$AG$8,0)),""))</f>
        <v/>
      </c>
      <c r="F21" t="str">
        <f t="shared" si="1"/>
        <v/>
      </c>
      <c r="G21" t="str">
        <f t="shared" si="2"/>
        <v/>
      </c>
      <c r="H21" t="str">
        <f t="shared" si="3"/>
        <v/>
      </c>
      <c r="I21" t="str">
        <f t="shared" si="4"/>
        <v/>
      </c>
      <c r="J21" t="str">
        <f t="shared" si="5"/>
        <v/>
      </c>
      <c r="K21" t="str">
        <f t="shared" si="6"/>
        <v/>
      </c>
      <c r="L21" t="str">
        <f t="shared" si="7"/>
        <v/>
      </c>
      <c r="M21" t="str">
        <f t="shared" si="8"/>
        <v/>
      </c>
      <c r="N21" t="str">
        <f t="shared" si="9"/>
        <v/>
      </c>
      <c r="O21" t="str">
        <f t="shared" si="10"/>
        <v/>
      </c>
      <c r="P21" t="str">
        <f>IF(AND(配置数据库!$C97="售前填写",INDEX(配置数据库!$G97:$AG97,1,MATCH($B$3,配置数据库!$G$8:$AG$8,0))&lt;&gt;""),SUMPRODUCT((配置数据库!$C$10:$C97="售前填写")*(INDEX(配置数据库!$G$10:$AG97,0,MATCH($B$3,配置数据库!$G$8:$AG$8,0))&lt;&gt;"")),"")</f>
        <v/>
      </c>
      <c r="Q21">
        <f>IF(AND(配置数据库!$C97="默认配置",INDEX(配置数据库!$G97:$AG97,1,MATCH($B$3,配置数据库!$G$8:$AG$8,0))&lt;&gt;""),SUMPRODUCT((配置数据库!$C$10:$C97="默认配置")*(INDEX(配置数据库!$G$10:$AG97,0,MATCH($B$3,配置数据库!$G$8:$AG$8,0))&lt;&gt;"")),"")</f>
        <v>30</v>
      </c>
    </row>
    <row r="22" ht="28" customHeight="1" spans="1:17">
      <c r="A22" s="17" t="str">
        <f>IFERROR(INDEX(配置数据库!$A:$A,MATCH(13,$P:$P,0)),"")</f>
        <v/>
      </c>
      <c r="B22" s="20" t="str">
        <f>IF($A22="","",IFERROR(LEFT(SUBSTITUTE(IFERROR(INDEX(配置数据库!$G:$AG,MATCH(13,$P:$P,0),MATCH($B$3,配置数据库!$G$8:$AG$8,0)),""),";","；"),FIND("；",SUBSTITUTE(IFERROR(INDEX(配置数据库!$G:$AG,MATCH(13,$P:$P,0),MATCH($B$3,配置数据库!$G$8:$AG$8,0)),""),";","；"))-1),IFERROR(INDEX(配置数据库!$G:$AG,MATCH(13,$P:$P,0),MATCH($B$3,配置数据库!$G$8:$AG$8,0)),"")))</f>
        <v/>
      </c>
      <c r="C22" s="20" t="str">
        <f t="shared" si="0"/>
        <v/>
      </c>
      <c r="D22" s="20" t="str">
        <f>IF($A22="","",IFERROR(INDEX(配置数据库!$B:$B,MATCH(13,$P:$P,0)),""))</f>
        <v/>
      </c>
      <c r="E22" t="str">
        <f>IF($A22="","",IFERROR(INDEX(配置数据库!$G:$AG,MATCH($A22,配置数据库!$A:$A,0),MATCH($B$3,配置数据库!$G$8:$AG$8,0)),""))</f>
        <v/>
      </c>
      <c r="F22" t="str">
        <f t="shared" si="1"/>
        <v/>
      </c>
      <c r="G22" t="str">
        <f t="shared" si="2"/>
        <v/>
      </c>
      <c r="H22" t="str">
        <f t="shared" si="3"/>
        <v/>
      </c>
      <c r="I22" t="str">
        <f t="shared" si="4"/>
        <v/>
      </c>
      <c r="J22" t="str">
        <f t="shared" si="5"/>
        <v/>
      </c>
      <c r="K22" t="str">
        <f t="shared" si="6"/>
        <v/>
      </c>
      <c r="L22" t="str">
        <f t="shared" si="7"/>
        <v/>
      </c>
      <c r="M22" t="str">
        <f t="shared" si="8"/>
        <v/>
      </c>
      <c r="N22" t="str">
        <f t="shared" si="9"/>
        <v/>
      </c>
      <c r="O22" t="str">
        <f t="shared" si="10"/>
        <v/>
      </c>
      <c r="P22">
        <f>IF(AND(配置数据库!$C98="售前填写",INDEX(配置数据库!$G98:$AG98,1,MATCH($B$3,配置数据库!$G$8:$AG$8,0))&lt;&gt;""),SUMPRODUCT((配置数据库!$C$10:$C98="售前填写")*(INDEX(配置数据库!$G$10:$AG98,0,MATCH($B$3,配置数据库!$G$8:$AG$8,0))&lt;&gt;"")),"")</f>
        <v>15</v>
      </c>
      <c r="Q22" t="str">
        <f>IF(AND(配置数据库!$C98="默认配置",INDEX(配置数据库!$G98:$AG98,1,MATCH($B$3,配置数据库!$G$8:$AG$8,0))&lt;&gt;""),SUMPRODUCT((配置数据库!$C$10:$C98="默认配置")*(INDEX(配置数据库!$G$10:$AG98,0,MATCH($B$3,配置数据库!$G$8:$AG$8,0))&lt;&gt;"")),"")</f>
        <v/>
      </c>
    </row>
    <row r="23" ht="28" customHeight="1" spans="1:17">
      <c r="A23" s="17" t="str">
        <f>IFERROR(INDEX(配置数据库!$A:$A,MATCH(14,$P:$P,0)),"")</f>
        <v/>
      </c>
      <c r="B23" s="20" t="str">
        <f>IF($A23="","",IFERROR(LEFT(SUBSTITUTE(IFERROR(INDEX(配置数据库!$G:$AG,MATCH(14,$P:$P,0),MATCH($B$3,配置数据库!$G$8:$AG$8,0)),""),";","；"),FIND("；",SUBSTITUTE(IFERROR(INDEX(配置数据库!$G:$AG,MATCH(14,$P:$P,0),MATCH($B$3,配置数据库!$G$8:$AG$8,0)),""),";","；"))-1),IFERROR(INDEX(配置数据库!$G:$AG,MATCH(14,$P:$P,0),MATCH($B$3,配置数据库!$G$8:$AG$8,0)),"")))</f>
        <v/>
      </c>
      <c r="C23" s="20" t="str">
        <f t="shared" si="0"/>
        <v/>
      </c>
      <c r="D23" s="20" t="str">
        <f>IF($A23="","",IFERROR(INDEX(配置数据库!$B:$B,MATCH(14,$P:$P,0)),""))</f>
        <v/>
      </c>
      <c r="E23" t="str">
        <f>IF($A23="","",IFERROR(INDEX(配置数据库!$G:$AG,MATCH($A23,配置数据库!$A:$A,0),MATCH($B$3,配置数据库!$G$8:$AG$8,0)),""))</f>
        <v/>
      </c>
      <c r="F23" t="str">
        <f t="shared" si="1"/>
        <v/>
      </c>
      <c r="G23" t="str">
        <f t="shared" si="2"/>
        <v/>
      </c>
      <c r="H23" t="str">
        <f t="shared" si="3"/>
        <v/>
      </c>
      <c r="I23" t="str">
        <f t="shared" si="4"/>
        <v/>
      </c>
      <c r="J23" t="str">
        <f t="shared" si="5"/>
        <v/>
      </c>
      <c r="K23" t="str">
        <f t="shared" si="6"/>
        <v/>
      </c>
      <c r="L23" t="str">
        <f t="shared" si="7"/>
        <v/>
      </c>
      <c r="M23" t="str">
        <f t="shared" si="8"/>
        <v/>
      </c>
      <c r="N23" t="str">
        <f t="shared" si="9"/>
        <v/>
      </c>
      <c r="O23" t="str">
        <f t="shared" si="10"/>
        <v/>
      </c>
      <c r="P23" t="str">
        <f>IF(AND(配置数据库!$C26="售前填写",INDEX(配置数据库!$G26:$AG26,1,MATCH($B$3,配置数据库!$G$8:$AG$8,0))&lt;&gt;""),SUMPRODUCT((配置数据库!$C$10:$C26="售前填写")*(INDEX(配置数据库!$G$10:$AG26,0,MATCH($B$3,配置数据库!$G$8:$AG$8,0))&lt;&gt;"")),"")</f>
        <v/>
      </c>
      <c r="Q23" t="str">
        <f>IF(AND(配置数据库!$C26="默认配置",INDEX(配置数据库!$G26:$AG26,1,MATCH($B$3,配置数据库!$G$8:$AG$8,0))&lt;&gt;""),SUMPRODUCT((配置数据库!$C$10:$C26="默认配置")*(INDEX(配置数据库!$G$10:$AG26,0,MATCH($B$3,配置数据库!$G$8:$AG$8,0))&lt;&gt;"")),"")</f>
        <v/>
      </c>
    </row>
    <row r="24" ht="28" customHeight="1" spans="1:17">
      <c r="A24" s="17" t="str">
        <f>IFERROR(INDEX(配置数据库!$A:$A,MATCH(15,$P:$P,0)),"")</f>
        <v>上视二维码相机</v>
      </c>
      <c r="B24" s="20" t="str">
        <f>IF($A24="","",IFERROR(LEFT(SUBSTITUTE(IFERROR(INDEX(配置数据库!$G:$AG,MATCH(15,$P:$P,0),MATCH($B$3,配置数据库!$G$8:$AG$8,0)),""),";","；"),FIND("；",SUBSTITUTE(IFERROR(INDEX(配置数据库!$G:$AG,MATCH(15,$P:$P,0),MATCH($B$3,配置数据库!$G$8:$AG$8,0)),""),";","；"))-1),IFERROR(INDEX(配置数据库!$G:$AG,MATCH(15,$P:$P,0),MATCH($B$3,配置数据库!$G$8:$AG$8,0)),"")))</f>
        <v/>
      </c>
      <c r="C24" s="20" t="str">
        <f t="shared" si="0"/>
        <v>售前填写</v>
      </c>
      <c r="D24" s="20" t="str">
        <f>IF($A24="","",IFERROR(INDEX(配置数据库!$B:$B,MATCH(15,$P:$P,0)),""))</f>
        <v/>
      </c>
      <c r="E24" t="str">
        <f>IF($A24="","",IFERROR(INDEX(配置数据库!$G:$AG,MATCH($A24,配置数据库!$A:$A,0),MATCH($B$3,配置数据库!$G$8:$AG$8,0)),""))</f>
        <v/>
      </c>
      <c r="F24" t="str">
        <f t="shared" si="1"/>
        <v/>
      </c>
      <c r="G24" t="str">
        <f t="shared" si="2"/>
        <v/>
      </c>
      <c r="H24" t="str">
        <f t="shared" si="3"/>
        <v/>
      </c>
      <c r="I24" t="str">
        <f t="shared" si="4"/>
        <v/>
      </c>
      <c r="J24" t="str">
        <f t="shared" si="5"/>
        <v/>
      </c>
      <c r="K24" t="str">
        <f t="shared" si="6"/>
        <v/>
      </c>
      <c r="L24" t="str">
        <f t="shared" si="7"/>
        <v/>
      </c>
      <c r="M24" t="str">
        <f t="shared" si="8"/>
        <v/>
      </c>
      <c r="N24" t="str">
        <f t="shared" si="9"/>
        <v/>
      </c>
      <c r="O24" t="str">
        <f t="shared" si="10"/>
        <v/>
      </c>
      <c r="P24" t="str">
        <f>IF(AND(配置数据库!$C28="售前填写",INDEX(配置数据库!$G28:$AG28,1,MATCH($B$3,配置数据库!$G$8:$AG$8,0))&lt;&gt;""),SUMPRODUCT((配置数据库!$C$10:$C28="售前填写")*(INDEX(配置数据库!$G$10:$AG28,0,MATCH($B$3,配置数据库!$G$8:$AG$8,0))&lt;&gt;"")),"")</f>
        <v/>
      </c>
      <c r="Q24" t="str">
        <f>IF(AND(配置数据库!$C28="默认配置",INDEX(配置数据库!$G28:$AG28,1,MATCH($B$3,配置数据库!$G$8:$AG$8,0))&lt;&gt;""),SUMPRODUCT((配置数据库!$C$10:$C28="默认配置")*(INDEX(配置数据库!$G$10:$AG28,0,MATCH($B$3,配置数据库!$G$8:$AG$8,0))&lt;&gt;"")),"")</f>
        <v/>
      </c>
    </row>
    <row r="25" ht="28" customHeight="1" spans="1:17">
      <c r="A25" s="17" t="str">
        <f>IFERROR(INDEX(配置数据库!$A:$A,MATCH(16,$P:$P,0)),"")</f>
        <v/>
      </c>
      <c r="B25" s="20" t="str">
        <f>IF($A25="","",IFERROR(LEFT(SUBSTITUTE(IFERROR(INDEX(配置数据库!$G:$AG,MATCH(16,$P:$P,0),MATCH($B$3,配置数据库!$G$8:$AG$8,0)),""),";","；"),FIND("；",SUBSTITUTE(IFERROR(INDEX(配置数据库!$G:$AG,MATCH(16,$P:$P,0),MATCH($B$3,配置数据库!$G$8:$AG$8,0)),""),";","；"))-1),IFERROR(INDEX(配置数据库!$G:$AG,MATCH(16,$P:$P,0),MATCH($B$3,配置数据库!$G$8:$AG$8,0)),"")))</f>
        <v/>
      </c>
      <c r="C25" s="20" t="str">
        <f t="shared" si="0"/>
        <v/>
      </c>
      <c r="D25" s="20" t="str">
        <f>IF($A25="","",IFERROR(INDEX(配置数据库!$B:$B,MATCH(16,$P:$P,0)),""))</f>
        <v/>
      </c>
      <c r="E25" t="str">
        <f>IF($A25="","",IFERROR(INDEX(配置数据库!$G:$AG,MATCH($A25,配置数据库!$A:$A,0),MATCH($B$3,配置数据库!$G$8:$AG$8,0)),""))</f>
        <v/>
      </c>
      <c r="F25" t="str">
        <f t="shared" si="1"/>
        <v/>
      </c>
      <c r="G25" t="str">
        <f t="shared" si="2"/>
        <v/>
      </c>
      <c r="H25" t="str">
        <f t="shared" si="3"/>
        <v/>
      </c>
      <c r="I25" t="str">
        <f t="shared" si="4"/>
        <v/>
      </c>
      <c r="J25" t="str">
        <f t="shared" si="5"/>
        <v/>
      </c>
      <c r="K25" t="str">
        <f t="shared" si="6"/>
        <v/>
      </c>
      <c r="L25" t="str">
        <f t="shared" si="7"/>
        <v/>
      </c>
      <c r="M25" t="str">
        <f t="shared" si="8"/>
        <v/>
      </c>
      <c r="N25" t="str">
        <f t="shared" si="9"/>
        <v/>
      </c>
      <c r="O25" t="str">
        <f t="shared" si="10"/>
        <v/>
      </c>
      <c r="P25" t="e">
        <f>IF(AND(配置数据库!#REF!="售前填写",INDEX(配置数据库!#REF!,1,MATCH($B$3,配置数据库!$G$8:$AG$8,0))&lt;&gt;""),SUMPRODUCT((配置数据库!$C$10:$C28="售前填写")*(INDEX(配置数据库!$G$10:$AG28,0,MATCH($B$3,配置数据库!$G$8:$AG$8,0))&lt;&gt;"")),"")</f>
        <v>#REF!</v>
      </c>
      <c r="Q25" t="e">
        <f>IF(AND(配置数据库!#REF!="默认配置",INDEX(配置数据库!#REF!,1,MATCH($B$3,配置数据库!$G$8:$AG$8,0))&lt;&gt;""),SUMPRODUCT((配置数据库!$C$10:$C28="默认配置")*(INDEX(配置数据库!$G$10:$AG28,0,MATCH($B$3,配置数据库!$G$8:$AG$8,0))&lt;&gt;"")),"")</f>
        <v>#REF!</v>
      </c>
    </row>
    <row r="26" ht="28" customHeight="1" spans="1:17">
      <c r="A26" s="17" t="str">
        <f>IFERROR(INDEX(配置数据库!$A:$A,MATCH(17,$P:$P,0)),"")</f>
        <v/>
      </c>
      <c r="B26" s="20" t="str">
        <f>IF($A26="","",IFERROR(LEFT(SUBSTITUTE(IFERROR(INDEX(配置数据库!$G:$AG,MATCH(17,$P:$P,0),MATCH($B$3,配置数据库!$G$8:$AG$8,0)),""),";","；"),FIND("；",SUBSTITUTE(IFERROR(INDEX(配置数据库!$G:$AG,MATCH(17,$P:$P,0),MATCH($B$3,配置数据库!$G$8:$AG$8,0)),""),";","；"))-1),IFERROR(INDEX(配置数据库!$G:$AG,MATCH(17,$P:$P,0),MATCH($B$3,配置数据库!$G$8:$AG$8,0)),"")))</f>
        <v/>
      </c>
      <c r="C26" s="20" t="str">
        <f t="shared" si="0"/>
        <v/>
      </c>
      <c r="D26" s="20" t="str">
        <f>IF($A26="","",IFERROR(INDEX(配置数据库!$B:$B,MATCH(17,$P:$P,0)),""))</f>
        <v/>
      </c>
      <c r="E26" t="str">
        <f>IF($A26="","",IFERROR(INDEX(配置数据库!$G:$AG,MATCH($A26,配置数据库!$A:$A,0),MATCH($B$3,配置数据库!$G$8:$AG$8,0)),""))</f>
        <v/>
      </c>
      <c r="F26" t="str">
        <f t="shared" si="1"/>
        <v/>
      </c>
      <c r="G26" t="str">
        <f t="shared" si="2"/>
        <v/>
      </c>
      <c r="H26" t="str">
        <f t="shared" si="3"/>
        <v/>
      </c>
      <c r="I26" t="str">
        <f t="shared" si="4"/>
        <v/>
      </c>
      <c r="J26" t="str">
        <f t="shared" si="5"/>
        <v/>
      </c>
      <c r="K26" t="str">
        <f t="shared" si="6"/>
        <v/>
      </c>
      <c r="L26" t="str">
        <f t="shared" si="7"/>
        <v/>
      </c>
      <c r="M26" t="str">
        <f t="shared" si="8"/>
        <v/>
      </c>
      <c r="N26" t="str">
        <f t="shared" si="9"/>
        <v/>
      </c>
      <c r="O26" t="str">
        <f t="shared" si="10"/>
        <v/>
      </c>
      <c r="P26" t="str">
        <f>IF(AND(配置数据库!$C34="售前填写",INDEX(配置数据库!$G34:$AG34,1,MATCH($B$3,配置数据库!$G$8:$AG$8,0))&lt;&gt;""),SUMPRODUCT((配置数据库!$C$10:$C34="售前填写")*(INDEX(配置数据库!$G$10:$AG34,0,MATCH($B$3,配置数据库!$G$8:$AG$8,0))&lt;&gt;"")),"")</f>
        <v/>
      </c>
      <c r="Q26" t="str">
        <f>IF(AND(配置数据库!$C34="默认配置",INDEX(配置数据库!$G34:$AG34,1,MATCH($B$3,配置数据库!$G$8:$AG$8,0))&lt;&gt;""),SUMPRODUCT((配置数据库!$C$10:$C34="默认配置")*(INDEX(配置数据库!$G$10:$AG34,0,MATCH($B$3,配置数据库!$G$8:$AG$8,0))&lt;&gt;"")),"")</f>
        <v/>
      </c>
    </row>
    <row r="27" ht="28" customHeight="1" spans="1:17">
      <c r="A27" s="17" t="str">
        <f>IFERROR(INDEX(配置数据库!$A:$A,MATCH(18,$P:$P,0)),"")</f>
        <v/>
      </c>
      <c r="B27" s="20" t="str">
        <f>IF($A27="","",IFERROR(LEFT(SUBSTITUTE(IFERROR(INDEX(配置数据库!$G:$AG,MATCH(18,$P:$P,0),MATCH($B$3,配置数据库!$G$8:$AG$8,0)),""),";","；"),FIND("；",SUBSTITUTE(IFERROR(INDEX(配置数据库!$G:$AG,MATCH(18,$P:$P,0),MATCH($B$3,配置数据库!$G$8:$AG$8,0)),""),";","；"))-1),IFERROR(INDEX(配置数据库!$G:$AG,MATCH(18,$P:$P,0),MATCH($B$3,配置数据库!$G$8:$AG$8,0)),"")))</f>
        <v/>
      </c>
      <c r="C27" s="20" t="str">
        <f t="shared" si="0"/>
        <v/>
      </c>
      <c r="D27" s="20" t="str">
        <f>IF($A27="","",IFERROR(INDEX(配置数据库!$B:$B,MATCH(18,$P:$P,0)),""))</f>
        <v/>
      </c>
      <c r="E27" t="str">
        <f>IF($A27="","",IFERROR(INDEX(配置数据库!$G:$AG,MATCH($A27,配置数据库!$A:$A,0),MATCH($B$3,配置数据库!$G$8:$AG$8,0)),""))</f>
        <v/>
      </c>
      <c r="F27" t="str">
        <f t="shared" si="1"/>
        <v/>
      </c>
      <c r="G27" t="str">
        <f t="shared" si="2"/>
        <v/>
      </c>
      <c r="H27" t="str">
        <f t="shared" si="3"/>
        <v/>
      </c>
      <c r="I27" t="str">
        <f t="shared" si="4"/>
        <v/>
      </c>
      <c r="J27" t="str">
        <f t="shared" si="5"/>
        <v/>
      </c>
      <c r="K27" t="str">
        <f t="shared" si="6"/>
        <v/>
      </c>
      <c r="L27" t="str">
        <f t="shared" si="7"/>
        <v/>
      </c>
      <c r="M27" t="str">
        <f t="shared" si="8"/>
        <v/>
      </c>
      <c r="N27" t="str">
        <f t="shared" si="9"/>
        <v/>
      </c>
      <c r="O27" t="str">
        <f t="shared" si="10"/>
        <v/>
      </c>
      <c r="P27">
        <f>IF(AND(配置数据库!$C35="售前填写",INDEX(配置数据库!$G35:$AG35,1,MATCH($B$3,配置数据库!$G$8:$AG$8,0))&lt;&gt;""),SUMPRODUCT((配置数据库!$C$10:$C35="售前填写")*(INDEX(配置数据库!$G$10:$AG35,0,MATCH($B$3,配置数据库!$G$8:$AG$8,0))&lt;&gt;"")),"")</f>
        <v>8</v>
      </c>
      <c r="Q27" t="str">
        <f>IF(AND(配置数据库!$C35="默认配置",INDEX(配置数据库!$G35:$AG35,1,MATCH($B$3,配置数据库!$G$8:$AG$8,0))&lt;&gt;""),SUMPRODUCT((配置数据库!$C$10:$C35="默认配置")*(INDEX(配置数据库!$G$10:$AG35,0,MATCH($B$3,配置数据库!$G$8:$AG$8,0))&lt;&gt;"")),"")</f>
        <v/>
      </c>
    </row>
    <row r="28" ht="28" customHeight="1" spans="1:17">
      <c r="A28" s="17" t="str">
        <f>IFERROR(INDEX(配置数据库!$A:$A,MATCH(19,$P:$P,0)),"")</f>
        <v/>
      </c>
      <c r="B28" s="20" t="str">
        <f>IF($A28="","",IFERROR(LEFT(SUBSTITUTE(IFERROR(INDEX(配置数据库!$G:$AG,MATCH(19,$P:$P,0),MATCH($B$3,配置数据库!$G$8:$AG$8,0)),""),";","；"),FIND("；",SUBSTITUTE(IFERROR(INDEX(配置数据库!$G:$AG,MATCH(19,$P:$P,0),MATCH($B$3,配置数据库!$G$8:$AG$8,0)),""),";","；"))-1),IFERROR(INDEX(配置数据库!$G:$AG,MATCH(19,$P:$P,0),MATCH($B$3,配置数据库!$G$8:$AG$8,0)),"")))</f>
        <v/>
      </c>
      <c r="C28" s="20" t="str">
        <f t="shared" si="0"/>
        <v/>
      </c>
      <c r="D28" s="20" t="str">
        <f>IF($A28="","",IFERROR(INDEX(配置数据库!$B:$B,MATCH(19,$P:$P,0)),""))</f>
        <v/>
      </c>
      <c r="E28" t="str">
        <f>IF($A28="","",IFERROR(INDEX(配置数据库!$G:$AG,MATCH($A28,配置数据库!$A:$A,0),MATCH($B$3,配置数据库!$G$8:$AG$8,0)),""))</f>
        <v/>
      </c>
      <c r="F28" t="str">
        <f t="shared" si="1"/>
        <v/>
      </c>
      <c r="G28" t="str">
        <f t="shared" si="2"/>
        <v/>
      </c>
      <c r="H28" t="str">
        <f t="shared" si="3"/>
        <v/>
      </c>
      <c r="I28" t="str">
        <f t="shared" si="4"/>
        <v/>
      </c>
      <c r="J28" t="str">
        <f t="shared" si="5"/>
        <v/>
      </c>
      <c r="K28" t="str">
        <f t="shared" si="6"/>
        <v/>
      </c>
      <c r="L28" t="str">
        <f t="shared" si="7"/>
        <v/>
      </c>
      <c r="M28" t="str">
        <f t="shared" si="8"/>
        <v/>
      </c>
      <c r="N28" t="str">
        <f t="shared" si="9"/>
        <v/>
      </c>
      <c r="O28" t="str">
        <f t="shared" si="10"/>
        <v/>
      </c>
      <c r="P28" t="e">
        <f>IF(AND(配置数据库!#REF!="售前填写",INDEX(配置数据库!#REF!,1,MATCH($B$3,配置数据库!$G$8:$AG$8,0))&lt;&gt;""),SUMPRODUCT((配置数据库!$C$10:$C35="售前填写")*(INDEX(配置数据库!$G$10:$AG35,0,MATCH($B$3,配置数据库!$G$8:$AG$8,0))&lt;&gt;"")),"")</f>
        <v>#REF!</v>
      </c>
      <c r="Q28" t="e">
        <f>IF(AND(配置数据库!#REF!="默认配置",INDEX(配置数据库!#REF!,1,MATCH($B$3,配置数据库!$G$8:$AG$8,0))&lt;&gt;""),SUMPRODUCT((配置数据库!$C$10:$C35="默认配置")*(INDEX(配置数据库!$G$10:$AG35,0,MATCH($B$3,配置数据库!$G$8:$AG$8,0))&lt;&gt;"")),"")</f>
        <v>#REF!</v>
      </c>
    </row>
    <row r="29" ht="28" customHeight="1" spans="1:17">
      <c r="A29" s="17" t="str">
        <f>IFERROR(INDEX(配置数据库!$A:$A,MATCH(20,$P:$P,0)),"")</f>
        <v/>
      </c>
      <c r="B29" s="20" t="str">
        <f>IF($A29="","",IFERROR(LEFT(SUBSTITUTE(IFERROR(INDEX(配置数据库!$G:$AG,MATCH(20,$P:$P,0),MATCH($B$3,配置数据库!$G$8:$AG$8,0)),""),";","；"),FIND("；",SUBSTITUTE(IFERROR(INDEX(配置数据库!$G:$AG,MATCH(20,$P:$P,0),MATCH($B$3,配置数据库!$G$8:$AG$8,0)),""),";","；"))-1),IFERROR(INDEX(配置数据库!$G:$AG,MATCH(20,$P:$P,0),MATCH($B$3,配置数据库!$G$8:$AG$8,0)),"")))</f>
        <v/>
      </c>
      <c r="C29" s="20" t="str">
        <f t="shared" si="0"/>
        <v/>
      </c>
      <c r="D29" s="20" t="str">
        <f>IF($A29="","",IFERROR(INDEX(配置数据库!$B:$B,MATCH(20,$P:$P,0)),""))</f>
        <v/>
      </c>
      <c r="E29" t="str">
        <f>IF($A29="","",IFERROR(INDEX(配置数据库!$G:$AG,MATCH($A29,配置数据库!$A:$A,0),MATCH($B$3,配置数据库!$G$8:$AG$8,0)),""))</f>
        <v/>
      </c>
      <c r="F29" t="str">
        <f t="shared" si="1"/>
        <v/>
      </c>
      <c r="G29" t="str">
        <f t="shared" si="2"/>
        <v/>
      </c>
      <c r="H29" t="str">
        <f t="shared" si="3"/>
        <v/>
      </c>
      <c r="I29" t="str">
        <f t="shared" si="4"/>
        <v/>
      </c>
      <c r="J29" t="str">
        <f t="shared" si="5"/>
        <v/>
      </c>
      <c r="K29" t="str">
        <f t="shared" si="6"/>
        <v/>
      </c>
      <c r="L29" t="str">
        <f t="shared" si="7"/>
        <v/>
      </c>
      <c r="M29" t="str">
        <f t="shared" si="8"/>
        <v/>
      </c>
      <c r="N29" t="str">
        <f t="shared" si="9"/>
        <v/>
      </c>
      <c r="O29" t="str">
        <f t="shared" si="10"/>
        <v/>
      </c>
      <c r="P29">
        <f>IF(AND(配置数据库!$C39="售前填写",INDEX(配置数据库!$G39:$AG39,1,MATCH($B$3,配置数据库!$G$8:$AG$8,0))&lt;&gt;""),SUMPRODUCT((配置数据库!$C$10:$C39="售前填写")*(INDEX(配置数据库!$G$10:$AG39,0,MATCH($B$3,配置数据库!$G$8:$AG$8,0))&lt;&gt;"")),"")</f>
        <v>10</v>
      </c>
      <c r="Q29" t="str">
        <f>IF(AND(配置数据库!$C39="默认配置",INDEX(配置数据库!$G39:$AG39,1,MATCH($B$3,配置数据库!$G$8:$AG$8,0))&lt;&gt;""),SUMPRODUCT((配置数据库!$C$10:$C39="默认配置")*(INDEX(配置数据库!$G$10:$AG39,0,MATCH($B$3,配置数据库!$G$8:$AG$8,0))&lt;&gt;"")),"")</f>
        <v/>
      </c>
    </row>
    <row r="30" ht="28" customHeight="1" spans="1:17">
      <c r="A30" s="17" t="str">
        <f>IFERROR(INDEX(配置数据库!$A:$A,MATCH(21,$P:$P,0)),"")</f>
        <v/>
      </c>
      <c r="B30" s="20" t="str">
        <f>IF($A30="","",IFERROR(LEFT(SUBSTITUTE(IFERROR(INDEX(配置数据库!$G:$AG,MATCH(21,$P:$P,0),MATCH($B$3,配置数据库!$G$8:$AG$8,0)),""),";","；"),FIND("；",SUBSTITUTE(IFERROR(INDEX(配置数据库!$G:$AG,MATCH(21,$P:$P,0),MATCH($B$3,配置数据库!$G$8:$AG$8,0)),""),";","；"))-1),IFERROR(INDEX(配置数据库!$G:$AG,MATCH(21,$P:$P,0),MATCH($B$3,配置数据库!$G$8:$AG$8,0)),"")))</f>
        <v/>
      </c>
      <c r="C30" s="20" t="str">
        <f t="shared" si="0"/>
        <v/>
      </c>
      <c r="D30" s="20" t="str">
        <f>IF($A30="","",IFERROR(INDEX(配置数据库!$B:$B,MATCH(21,$P:$P,0)),""))</f>
        <v/>
      </c>
      <c r="E30" t="str">
        <f>IF($A30="","",IFERROR(INDEX(配置数据库!$G:$AG,MATCH($A30,配置数据库!$A:$A,0),MATCH($B$3,配置数据库!$G$8:$AG$8,0)),""))</f>
        <v/>
      </c>
      <c r="F30" t="str">
        <f t="shared" si="1"/>
        <v/>
      </c>
      <c r="G30" t="str">
        <f t="shared" si="2"/>
        <v/>
      </c>
      <c r="H30" t="str">
        <f t="shared" si="3"/>
        <v/>
      </c>
      <c r="I30" t="str">
        <f t="shared" si="4"/>
        <v/>
      </c>
      <c r="J30" t="str">
        <f t="shared" si="5"/>
        <v/>
      </c>
      <c r="K30" t="str">
        <f t="shared" si="6"/>
        <v/>
      </c>
      <c r="L30" t="str">
        <f t="shared" si="7"/>
        <v/>
      </c>
      <c r="M30" t="str">
        <f t="shared" si="8"/>
        <v/>
      </c>
      <c r="N30" t="str">
        <f t="shared" si="9"/>
        <v/>
      </c>
      <c r="O30" t="str">
        <f t="shared" si="10"/>
        <v/>
      </c>
      <c r="P30" t="str">
        <f>IF(AND(配置数据库!$C41="售前填写",INDEX(配置数据库!$G41:$AG41,1,MATCH($B$3,配置数据库!$G$8:$AG$8,0))&lt;&gt;""),SUMPRODUCT((配置数据库!$C$10:$C41="售前填写")*(INDEX(配置数据库!$G$10:$AG41,0,MATCH($B$3,配置数据库!$G$8:$AG$8,0))&lt;&gt;"")),"")</f>
        <v/>
      </c>
      <c r="Q30" t="str">
        <f>IF(AND(配置数据库!$C41="默认配置",INDEX(配置数据库!$G41:$AG41,1,MATCH($B$3,配置数据库!$G$8:$AG$8,0))&lt;&gt;""),SUMPRODUCT((配置数据库!$C$10:$C41="默认配置")*(INDEX(配置数据库!$G$10:$AG41,0,MATCH($B$3,配置数据库!$G$8:$AG$8,0))&lt;&gt;"")),"")</f>
        <v/>
      </c>
    </row>
    <row r="31" ht="28" customHeight="1" spans="1:17">
      <c r="A31" s="17" t="str">
        <f>IFERROR(INDEX(配置数据库!$A:$A,MATCH(22,$P:$P,0)),"")</f>
        <v/>
      </c>
      <c r="B31" s="20" t="str">
        <f>IF($A31="","",IFERROR(LEFT(SUBSTITUTE(IFERROR(INDEX(配置数据库!$G:$AG,MATCH(22,$P:$P,0),MATCH($B$3,配置数据库!$G$8:$AG$8,0)),""),";","；"),FIND("；",SUBSTITUTE(IFERROR(INDEX(配置数据库!$G:$AG,MATCH(22,$P:$P,0),MATCH($B$3,配置数据库!$G$8:$AG$8,0)),""),";","；"))-1),IFERROR(INDEX(配置数据库!$G:$AG,MATCH(22,$P:$P,0),MATCH($B$3,配置数据库!$G$8:$AG$8,0)),"")))</f>
        <v/>
      </c>
      <c r="C31" s="20" t="str">
        <f t="shared" si="0"/>
        <v/>
      </c>
      <c r="D31" s="20" t="str">
        <f>IF($A31="","",IFERROR(INDEX(配置数据库!$B:$B,MATCH(22,$P:$P,0)),""))</f>
        <v/>
      </c>
      <c r="E31" t="str">
        <f>IF($A31="","",IFERROR(INDEX(配置数据库!$G:$AG,MATCH($A31,配置数据库!$A:$A,0),MATCH($B$3,配置数据库!$G$8:$AG$8,0)),""))</f>
        <v/>
      </c>
      <c r="F31" t="str">
        <f t="shared" si="1"/>
        <v/>
      </c>
      <c r="G31" t="str">
        <f t="shared" si="2"/>
        <v/>
      </c>
      <c r="H31" t="str">
        <f t="shared" si="3"/>
        <v/>
      </c>
      <c r="I31" t="str">
        <f t="shared" si="4"/>
        <v/>
      </c>
      <c r="J31" t="str">
        <f t="shared" si="5"/>
        <v/>
      </c>
      <c r="K31" t="str">
        <f t="shared" si="6"/>
        <v/>
      </c>
      <c r="L31" t="str">
        <f t="shared" si="7"/>
        <v/>
      </c>
      <c r="M31" t="str">
        <f t="shared" si="8"/>
        <v/>
      </c>
      <c r="N31" t="str">
        <f t="shared" si="9"/>
        <v/>
      </c>
      <c r="O31" t="str">
        <f t="shared" si="10"/>
        <v/>
      </c>
      <c r="P31" t="str">
        <f>IF(AND(配置数据库!$C42="售前填写",INDEX(配置数据库!$G42:$AG42,1,MATCH($B$3,配置数据库!$G$8:$AG$8,0))&lt;&gt;""),SUMPRODUCT((配置数据库!$C$10:$C42="售前填写")*(INDEX(配置数据库!$G$10:$AG42,0,MATCH($B$3,配置数据库!$G$8:$AG$8,0))&lt;&gt;"")),"")</f>
        <v/>
      </c>
      <c r="Q31" t="str">
        <f>IF(AND(配置数据库!$C42="默认配置",INDEX(配置数据库!$G42:$AG42,1,MATCH($B$3,配置数据库!$G$8:$AG$8,0))&lt;&gt;""),SUMPRODUCT((配置数据库!$C$10:$C42="默认配置")*(INDEX(配置数据库!$G$10:$AG42,0,MATCH($B$3,配置数据库!$G$8:$AG$8,0))&lt;&gt;"")),"")</f>
        <v/>
      </c>
    </row>
    <row r="32" ht="28" customHeight="1" spans="1:17">
      <c r="A32" s="17" t="str">
        <f>IFERROR(INDEX(配置数据库!$A:$A,MATCH(23,$P:$P,0)),"")</f>
        <v/>
      </c>
      <c r="B32" s="20" t="str">
        <f>IF($A32="","",IFERROR(LEFT(SUBSTITUTE(IFERROR(INDEX(配置数据库!$G:$AG,MATCH(23,$P:$P,0),MATCH($B$3,配置数据库!$G$8:$AG$8,0)),""),";","；"),FIND("；",SUBSTITUTE(IFERROR(INDEX(配置数据库!$G:$AG,MATCH(23,$P:$P,0),MATCH($B$3,配置数据库!$G$8:$AG$8,0)),""),";","；"))-1),IFERROR(INDEX(配置数据库!$G:$AG,MATCH(23,$P:$P,0),MATCH($B$3,配置数据库!$G$8:$AG$8,0)),"")))</f>
        <v/>
      </c>
      <c r="C32" s="20" t="str">
        <f t="shared" si="0"/>
        <v/>
      </c>
      <c r="D32" s="20" t="str">
        <f>IF($A32="","",IFERROR(INDEX(配置数据库!$B:$B,MATCH(23,$P:$P,0)),""))</f>
        <v/>
      </c>
      <c r="E32" t="str">
        <f>IF($A32="","",IFERROR(INDEX(配置数据库!$G:$AG,MATCH($A32,配置数据库!$A:$A,0),MATCH($B$3,配置数据库!$G$8:$AG$8,0)),""))</f>
        <v/>
      </c>
      <c r="F32" t="str">
        <f t="shared" si="1"/>
        <v/>
      </c>
      <c r="G32" t="str">
        <f t="shared" si="2"/>
        <v/>
      </c>
      <c r="H32" t="str">
        <f t="shared" si="3"/>
        <v/>
      </c>
      <c r="I32" t="str">
        <f t="shared" si="4"/>
        <v/>
      </c>
      <c r="J32" t="str">
        <f t="shared" si="5"/>
        <v/>
      </c>
      <c r="K32" t="str">
        <f t="shared" si="6"/>
        <v/>
      </c>
      <c r="L32" t="str">
        <f t="shared" si="7"/>
        <v/>
      </c>
      <c r="M32" t="str">
        <f t="shared" si="8"/>
        <v/>
      </c>
      <c r="N32" t="str">
        <f t="shared" si="9"/>
        <v/>
      </c>
      <c r="O32" t="str">
        <f t="shared" si="10"/>
        <v/>
      </c>
      <c r="P32" t="str">
        <f>IF(AND(配置数据库!$C46="售前填写",INDEX(配置数据库!$G46:$AG46,1,MATCH($B$3,配置数据库!$G$8:$AG$8,0))&lt;&gt;""),SUMPRODUCT((配置数据库!$C$10:$C46="售前填写")*(INDEX(配置数据库!$G$10:$AG46,0,MATCH($B$3,配置数据库!$G$8:$AG$8,0))&lt;&gt;"")),"")</f>
        <v/>
      </c>
      <c r="Q32" t="str">
        <f>IF(AND(配置数据库!$C46="默认配置",INDEX(配置数据库!$G46:$AG46,1,MATCH($B$3,配置数据库!$G$8:$AG$8,0))&lt;&gt;""),SUMPRODUCT((配置数据库!$C$10:$C46="默认配置")*(INDEX(配置数据库!$G$10:$AG46,0,MATCH($B$3,配置数据库!$G$8:$AG$8,0))&lt;&gt;"")),"")</f>
        <v/>
      </c>
    </row>
    <row r="33" ht="28" customHeight="1" spans="1:17">
      <c r="A33" s="17" t="str">
        <f>IFERROR(INDEX(配置数据库!$A:$A,MATCH(24,$P:$P,0)),"")</f>
        <v/>
      </c>
      <c r="B33" s="20" t="str">
        <f>IF($A33="","",IFERROR(LEFT(SUBSTITUTE(IFERROR(INDEX(配置数据库!$G:$AG,MATCH(24,$P:$P,0),MATCH($B$3,配置数据库!$G$8:$AG$8,0)),""),";","；"),FIND("；",SUBSTITUTE(IFERROR(INDEX(配置数据库!$G:$AG,MATCH(24,$P:$P,0),MATCH($B$3,配置数据库!$G$8:$AG$8,0)),""),";","；"))-1),IFERROR(INDEX(配置数据库!$G:$AG,MATCH(24,$P:$P,0),MATCH($B$3,配置数据库!$G$8:$AG$8,0)),"")))</f>
        <v/>
      </c>
      <c r="C33" s="20" t="str">
        <f t="shared" si="0"/>
        <v/>
      </c>
      <c r="D33" s="20" t="str">
        <f>IF($A33="","",IFERROR(INDEX(配置数据库!$B:$B,MATCH(24,$P:$P,0)),""))</f>
        <v/>
      </c>
      <c r="E33" t="str">
        <f>IF($A33="","",IFERROR(INDEX(配置数据库!$G:$AG,MATCH($A33,配置数据库!$A:$A,0),MATCH($B$3,配置数据库!$G$8:$AG$8,0)),""))</f>
        <v/>
      </c>
      <c r="F33" t="str">
        <f t="shared" si="1"/>
        <v/>
      </c>
      <c r="G33" t="str">
        <f t="shared" si="2"/>
        <v/>
      </c>
      <c r="H33" t="str">
        <f t="shared" si="3"/>
        <v/>
      </c>
      <c r="I33" t="str">
        <f t="shared" si="4"/>
        <v/>
      </c>
      <c r="J33" t="str">
        <f t="shared" si="5"/>
        <v/>
      </c>
      <c r="K33" t="str">
        <f t="shared" si="6"/>
        <v/>
      </c>
      <c r="L33" t="str">
        <f t="shared" si="7"/>
        <v/>
      </c>
      <c r="M33" t="str">
        <f t="shared" si="8"/>
        <v/>
      </c>
      <c r="N33" t="str">
        <f t="shared" si="9"/>
        <v/>
      </c>
      <c r="O33" t="str">
        <f t="shared" si="10"/>
        <v/>
      </c>
      <c r="P33" t="str">
        <f>IF(AND(配置数据库!$C47="售前填写",INDEX(配置数据库!$G47:$AG47,1,MATCH($B$3,配置数据库!$G$8:$AG$8,0))&lt;&gt;""),SUMPRODUCT((配置数据库!$C$10:$C47="售前填写")*(INDEX(配置数据库!$G$10:$AG47,0,MATCH($B$3,配置数据库!$G$8:$AG$8,0))&lt;&gt;"")),"")</f>
        <v/>
      </c>
      <c r="Q33" t="str">
        <f>IF(AND(配置数据库!$C47="默认配置",INDEX(配置数据库!$G47:$AG47,1,MATCH($B$3,配置数据库!$G$8:$AG$8,0))&lt;&gt;""),SUMPRODUCT((配置数据库!$C$10:$C47="默认配置")*(INDEX(配置数据库!$G$10:$AG47,0,MATCH($B$3,配置数据库!$G$8:$AG$8,0))&lt;&gt;"")),"")</f>
        <v/>
      </c>
    </row>
    <row r="34" ht="28" customHeight="1" spans="1:17">
      <c r="A34" s="17" t="str">
        <f>IFERROR(INDEX(配置数据库!$A:$A,MATCH(25,$P:$P,0)),"")</f>
        <v/>
      </c>
      <c r="B34" s="20" t="str">
        <f>IF($A34="","",IFERROR(LEFT(SUBSTITUTE(IFERROR(INDEX(配置数据库!$G:$AG,MATCH(25,$P:$P,0),MATCH($B$3,配置数据库!$G$8:$AG$8,0)),""),";","；"),FIND("；",SUBSTITUTE(IFERROR(INDEX(配置数据库!$G:$AG,MATCH(25,$P:$P,0),MATCH($B$3,配置数据库!$G$8:$AG$8,0)),""),";","；"))-1),IFERROR(INDEX(配置数据库!$G:$AG,MATCH(25,$P:$P,0),MATCH($B$3,配置数据库!$G$8:$AG$8,0)),"")))</f>
        <v/>
      </c>
      <c r="C34" s="20" t="str">
        <f t="shared" si="0"/>
        <v/>
      </c>
      <c r="D34" s="20" t="str">
        <f>IF($A34="","",IFERROR(INDEX(配置数据库!$B:$B,MATCH(25,$P:$P,0)),""))</f>
        <v/>
      </c>
      <c r="E34" t="str">
        <f>IF($A34="","",IFERROR(INDEX(配置数据库!$G:$AG,MATCH($A34,配置数据库!$A:$A,0),MATCH($B$3,配置数据库!$G$8:$AG$8,0)),""))</f>
        <v/>
      </c>
      <c r="F34" t="str">
        <f t="shared" si="1"/>
        <v/>
      </c>
      <c r="G34" t="str">
        <f t="shared" si="2"/>
        <v/>
      </c>
      <c r="H34" t="str">
        <f t="shared" si="3"/>
        <v/>
      </c>
      <c r="I34" t="str">
        <f t="shared" si="4"/>
        <v/>
      </c>
      <c r="J34" t="str">
        <f t="shared" si="5"/>
        <v/>
      </c>
      <c r="K34" t="str">
        <f t="shared" si="6"/>
        <v/>
      </c>
      <c r="L34" t="str">
        <f t="shared" si="7"/>
        <v/>
      </c>
      <c r="M34" t="str">
        <f t="shared" si="8"/>
        <v/>
      </c>
      <c r="N34" t="str">
        <f t="shared" si="9"/>
        <v/>
      </c>
      <c r="O34" t="str">
        <f t="shared" si="10"/>
        <v/>
      </c>
      <c r="P34" t="str">
        <f>IF(AND(配置数据库!$C61="售前填写",INDEX(配置数据库!$G61:$AG61,1,MATCH($B$3,配置数据库!$G$8:$AG$8,0))&lt;&gt;""),SUMPRODUCT((配置数据库!$C$10:$C61="售前填写")*(INDEX(配置数据库!$G$10:$AG61,0,MATCH($B$3,配置数据库!$G$8:$AG$8,0))&lt;&gt;"")),"")</f>
        <v/>
      </c>
      <c r="Q34">
        <f>IF(AND(配置数据库!$C61="默认配置",INDEX(配置数据库!$G61:$AG61,1,MATCH($B$3,配置数据库!$G$8:$AG$8,0))&lt;&gt;""),SUMPRODUCT((配置数据库!$C$10:$C61="默认配置")*(INDEX(配置数据库!$G$10:$AG61,0,MATCH($B$3,配置数据库!$G$8:$AG$8,0))&lt;&gt;"")),"")</f>
        <v>1</v>
      </c>
    </row>
    <row r="35" ht="28" customHeight="1" spans="1:17">
      <c r="A35" s="17" t="str">
        <f>IFERROR(INDEX(配置数据库!$A:$A,MATCH(26,$P:$P,0)),"")</f>
        <v/>
      </c>
      <c r="B35" s="20" t="str">
        <f>IF($A35="","",IFERROR(LEFT(SUBSTITUTE(IFERROR(INDEX(配置数据库!$G:$AG,MATCH(26,$P:$P,0),MATCH($B$3,配置数据库!$G$8:$AG$8,0)),""),";","；"),FIND("；",SUBSTITUTE(IFERROR(INDEX(配置数据库!$G:$AG,MATCH(26,$P:$P,0),MATCH($B$3,配置数据库!$G$8:$AG$8,0)),""),";","；"))-1),IFERROR(INDEX(配置数据库!$G:$AG,MATCH(26,$P:$P,0),MATCH($B$3,配置数据库!$G$8:$AG$8,0)),"")))</f>
        <v/>
      </c>
      <c r="C35" s="20" t="str">
        <f t="shared" si="0"/>
        <v/>
      </c>
      <c r="D35" s="20" t="str">
        <f>IF($A35="","",IFERROR(INDEX(配置数据库!$B:$B,MATCH(26,$P:$P,0)),""))</f>
        <v/>
      </c>
      <c r="E35" t="str">
        <f>IF($A35="","",IFERROR(INDEX(配置数据库!$G:$AG,MATCH($A35,配置数据库!$A:$A,0),MATCH($B$3,配置数据库!$G$8:$AG$8,0)),""))</f>
        <v/>
      </c>
      <c r="F35" t="str">
        <f t="shared" si="1"/>
        <v/>
      </c>
      <c r="G35" t="str">
        <f t="shared" si="2"/>
        <v/>
      </c>
      <c r="H35" t="str">
        <f t="shared" si="3"/>
        <v/>
      </c>
      <c r="I35" t="str">
        <f t="shared" si="4"/>
        <v/>
      </c>
      <c r="J35" t="str">
        <f t="shared" si="5"/>
        <v/>
      </c>
      <c r="K35" t="str">
        <f t="shared" si="6"/>
        <v/>
      </c>
      <c r="L35" t="str">
        <f t="shared" si="7"/>
        <v/>
      </c>
      <c r="M35" t="str">
        <f t="shared" si="8"/>
        <v/>
      </c>
      <c r="N35" t="str">
        <f t="shared" si="9"/>
        <v/>
      </c>
      <c r="O35" t="str">
        <f t="shared" si="10"/>
        <v/>
      </c>
      <c r="P35" t="str">
        <f>IF(AND(配置数据库!$C62="售前填写",INDEX(配置数据库!$G62:$AG62,1,MATCH($B$3,配置数据库!$G$8:$AG$8,0))&lt;&gt;""),SUMPRODUCT((配置数据库!$C$10:$C62="售前填写")*(INDEX(配置数据库!$G$10:$AG62,0,MATCH($B$3,配置数据库!$G$8:$AG$8,0))&lt;&gt;"")),"")</f>
        <v/>
      </c>
      <c r="Q35">
        <f>IF(AND(配置数据库!$C62="默认配置",INDEX(配置数据库!$G62:$AG62,1,MATCH($B$3,配置数据库!$G$8:$AG$8,0))&lt;&gt;""),SUMPRODUCT((配置数据库!$C$10:$C62="默认配置")*(INDEX(配置数据库!$G$10:$AG62,0,MATCH($B$3,配置数据库!$G$8:$AG$8,0))&lt;&gt;"")),"")</f>
        <v>2</v>
      </c>
    </row>
    <row r="36" ht="28" customHeight="1" spans="1:17">
      <c r="A36" s="17" t="str">
        <f>IFERROR(INDEX(配置数据库!$A:$A,MATCH(27,$P:$P,0)),"")</f>
        <v/>
      </c>
      <c r="B36" s="20" t="str">
        <f>IF($A36="","",IFERROR(LEFT(SUBSTITUTE(IFERROR(INDEX(配置数据库!$G:$AG,MATCH(27,$P:$P,0),MATCH($B$3,配置数据库!$G$8:$AG$8,0)),""),";","；"),FIND("；",SUBSTITUTE(IFERROR(INDEX(配置数据库!$G:$AG,MATCH(27,$P:$P,0),MATCH($B$3,配置数据库!$G$8:$AG$8,0)),""),";","；"))-1),IFERROR(INDEX(配置数据库!$G:$AG,MATCH(27,$P:$P,0),MATCH($B$3,配置数据库!$G$8:$AG$8,0)),"")))</f>
        <v/>
      </c>
      <c r="C36" s="20" t="str">
        <f t="shared" si="0"/>
        <v/>
      </c>
      <c r="D36" s="20" t="str">
        <f>IF($A36="","",IFERROR(INDEX(配置数据库!$B:$B,MATCH(27,$P:$P,0)),""))</f>
        <v/>
      </c>
      <c r="E36" t="str">
        <f>IF($A36="","",IFERROR(INDEX(配置数据库!$G:$AG,MATCH($A36,配置数据库!$A:$A,0),MATCH($B$3,配置数据库!$G$8:$AG$8,0)),""))</f>
        <v/>
      </c>
      <c r="F36" t="str">
        <f t="shared" si="1"/>
        <v/>
      </c>
      <c r="G36" t="str">
        <f t="shared" si="2"/>
        <v/>
      </c>
      <c r="H36" t="str">
        <f t="shared" si="3"/>
        <v/>
      </c>
      <c r="I36" t="str">
        <f t="shared" si="4"/>
        <v/>
      </c>
      <c r="J36" t="str">
        <f t="shared" si="5"/>
        <v/>
      </c>
      <c r="K36" t="str">
        <f t="shared" si="6"/>
        <v/>
      </c>
      <c r="L36" t="str">
        <f t="shared" si="7"/>
        <v/>
      </c>
      <c r="M36" t="str">
        <f t="shared" si="8"/>
        <v/>
      </c>
      <c r="N36" t="str">
        <f t="shared" si="9"/>
        <v/>
      </c>
      <c r="O36" t="str">
        <f t="shared" si="10"/>
        <v/>
      </c>
      <c r="P36" t="str">
        <f>IF(AND(配置数据库!$C63="售前填写",INDEX(配置数据库!$G63:$AG63,1,MATCH($B$3,配置数据库!$G$8:$AG$8,0))&lt;&gt;""),SUMPRODUCT((配置数据库!$C$10:$C63="售前填写")*(INDEX(配置数据库!$G$10:$AG63,0,MATCH($B$3,配置数据库!$G$8:$AG$8,0))&lt;&gt;"")),"")</f>
        <v/>
      </c>
      <c r="Q36">
        <f>IF(AND(配置数据库!$C63="默认配置",INDEX(配置数据库!$G63:$AG63,1,MATCH($B$3,配置数据库!$G$8:$AG$8,0))&lt;&gt;""),SUMPRODUCT((配置数据库!$C$10:$C63="默认配置")*(INDEX(配置数据库!$G$10:$AG63,0,MATCH($B$3,配置数据库!$G$8:$AG$8,0))&lt;&gt;"")),"")</f>
        <v>3</v>
      </c>
    </row>
    <row r="37" ht="28" customHeight="1" spans="1:17">
      <c r="A37" s="17" t="str">
        <f>IFERROR(INDEX(配置数据库!$A:$A,MATCH(28,$P:$P,0)),"")</f>
        <v/>
      </c>
      <c r="B37" s="20" t="str">
        <f>IF($A37="","",IFERROR(LEFT(SUBSTITUTE(IFERROR(INDEX(配置数据库!$G:$AG,MATCH(28,$P:$P,0),MATCH($B$3,配置数据库!$G$8:$AG$8,0)),""),";","；"),FIND("；",SUBSTITUTE(IFERROR(INDEX(配置数据库!$G:$AG,MATCH(28,$P:$P,0),MATCH($B$3,配置数据库!$G$8:$AG$8,0)),""),";","；"))-1),IFERROR(INDEX(配置数据库!$G:$AG,MATCH(28,$P:$P,0),MATCH($B$3,配置数据库!$G$8:$AG$8,0)),"")))</f>
        <v/>
      </c>
      <c r="C37" s="20" t="str">
        <f t="shared" si="0"/>
        <v/>
      </c>
      <c r="D37" s="20" t="str">
        <f>IF($A37="","",IFERROR(INDEX(配置数据库!$B:$B,MATCH(28,$P:$P,0)),""))</f>
        <v/>
      </c>
      <c r="E37" t="str">
        <f>IF($A37="","",IFERROR(INDEX(配置数据库!$G:$AG,MATCH($A37,配置数据库!$A:$A,0),MATCH($B$3,配置数据库!$G$8:$AG$8,0)),""))</f>
        <v/>
      </c>
      <c r="F37" t="str">
        <f t="shared" si="1"/>
        <v/>
      </c>
      <c r="G37" t="str">
        <f t="shared" si="2"/>
        <v/>
      </c>
      <c r="H37" t="str">
        <f t="shared" si="3"/>
        <v/>
      </c>
      <c r="I37" t="str">
        <f t="shared" si="4"/>
        <v/>
      </c>
      <c r="J37" t="str">
        <f t="shared" si="5"/>
        <v/>
      </c>
      <c r="K37" t="str">
        <f t="shared" si="6"/>
        <v/>
      </c>
      <c r="L37" t="str">
        <f t="shared" si="7"/>
        <v/>
      </c>
      <c r="M37" t="str">
        <f t="shared" si="8"/>
        <v/>
      </c>
      <c r="N37" t="str">
        <f t="shared" si="9"/>
        <v/>
      </c>
      <c r="O37" t="str">
        <f t="shared" si="10"/>
        <v/>
      </c>
      <c r="P37" t="str">
        <f>IF(AND(配置数据库!$C64="售前填写",INDEX(配置数据库!$G64:$AG64,1,MATCH($B$3,配置数据库!$G$8:$AG$8,0))&lt;&gt;""),SUMPRODUCT((配置数据库!$C$10:$C64="售前填写")*(INDEX(配置数据库!$G$10:$AG64,0,MATCH($B$3,配置数据库!$G$8:$AG$8,0))&lt;&gt;"")),"")</f>
        <v/>
      </c>
      <c r="Q37">
        <f>IF(AND(配置数据库!$C64="默认配置",INDEX(配置数据库!$G64:$AG64,1,MATCH($B$3,配置数据库!$G$8:$AG$8,0))&lt;&gt;""),SUMPRODUCT((配置数据库!$C$10:$C64="默认配置")*(INDEX(配置数据库!$G$10:$AG64,0,MATCH($B$3,配置数据库!$G$8:$AG$8,0))&lt;&gt;"")),"")</f>
        <v>4</v>
      </c>
    </row>
    <row r="38" ht="28" customHeight="1" spans="1:17">
      <c r="A38" s="17" t="str">
        <f>IFERROR(INDEX(配置数据库!$A:$A,MATCH(29,$P:$P,0)),"")</f>
        <v/>
      </c>
      <c r="B38" s="20" t="str">
        <f>IF($A38="","",IFERROR(LEFT(SUBSTITUTE(IFERROR(INDEX(配置数据库!$G:$AG,MATCH(29,$P:$P,0),MATCH($B$3,配置数据库!$G$8:$AG$8,0)),""),";","；"),FIND("；",SUBSTITUTE(IFERROR(INDEX(配置数据库!$G:$AG,MATCH(29,$P:$P,0),MATCH($B$3,配置数据库!$G$8:$AG$8,0)),""),";","；"))-1),IFERROR(INDEX(配置数据库!$G:$AG,MATCH(29,$P:$P,0),MATCH($B$3,配置数据库!$G$8:$AG$8,0)),"")))</f>
        <v/>
      </c>
      <c r="C38" s="20" t="str">
        <f t="shared" si="0"/>
        <v/>
      </c>
      <c r="D38" s="20" t="str">
        <f>IF($A38="","",IFERROR(INDEX(配置数据库!$B:$B,MATCH(29,$P:$P,0)),""))</f>
        <v/>
      </c>
      <c r="E38" t="str">
        <f>IF($A38="","",IFERROR(INDEX(配置数据库!$G:$AG,MATCH($A38,配置数据库!$A:$A,0),MATCH($B$3,配置数据库!$G$8:$AG$8,0)),""))</f>
        <v/>
      </c>
      <c r="F38" t="str">
        <f t="shared" si="1"/>
        <v/>
      </c>
      <c r="G38" t="str">
        <f t="shared" si="2"/>
        <v/>
      </c>
      <c r="H38" t="str">
        <f t="shared" si="3"/>
        <v/>
      </c>
      <c r="I38" t="str">
        <f t="shared" si="4"/>
        <v/>
      </c>
      <c r="J38" t="str">
        <f t="shared" si="5"/>
        <v/>
      </c>
      <c r="K38" t="str">
        <f t="shared" si="6"/>
        <v/>
      </c>
      <c r="L38" t="str">
        <f t="shared" si="7"/>
        <v/>
      </c>
      <c r="M38" t="str">
        <f t="shared" si="8"/>
        <v/>
      </c>
      <c r="N38" t="str">
        <f t="shared" si="9"/>
        <v/>
      </c>
      <c r="O38" t="str">
        <f t="shared" si="10"/>
        <v/>
      </c>
      <c r="P38" t="str">
        <f>IF(AND(配置数据库!$C65="售前填写",INDEX(配置数据库!$G65:$AG65,1,MATCH($B$3,配置数据库!$G$8:$AG$8,0))&lt;&gt;""),SUMPRODUCT((配置数据库!$C$10:$C65="售前填写")*(INDEX(配置数据库!$G$10:$AG65,0,MATCH($B$3,配置数据库!$G$8:$AG$8,0))&lt;&gt;"")),"")</f>
        <v/>
      </c>
      <c r="Q38">
        <f>IF(AND(配置数据库!$C65="默认配置",INDEX(配置数据库!$G65:$AG65,1,MATCH($B$3,配置数据库!$G$8:$AG$8,0))&lt;&gt;""),SUMPRODUCT((配置数据库!$C$10:$C65="默认配置")*(INDEX(配置数据库!$G$10:$AG65,0,MATCH($B$3,配置数据库!$G$8:$AG$8,0))&lt;&gt;"")),"")</f>
        <v>5</v>
      </c>
    </row>
    <row r="39" ht="28" customHeight="1" spans="1:17">
      <c r="A39" s="17" t="str">
        <f>IFERROR(INDEX(配置数据库!$A:$A,MATCH(30,$P:$P,0)),"")</f>
        <v/>
      </c>
      <c r="B39" s="20" t="str">
        <f>IF($A39="","",IFERROR(LEFT(SUBSTITUTE(IFERROR(INDEX(配置数据库!$G:$AG,MATCH(30,$P:$P,0),MATCH($B$3,配置数据库!$G$8:$AG$8,0)),""),";","；"),FIND("；",SUBSTITUTE(IFERROR(INDEX(配置数据库!$G:$AG,MATCH(30,$P:$P,0),MATCH($B$3,配置数据库!$G$8:$AG$8,0)),""),";","；"))-1),IFERROR(INDEX(配置数据库!$G:$AG,MATCH(30,$P:$P,0),MATCH($B$3,配置数据库!$G$8:$AG$8,0)),"")))</f>
        <v/>
      </c>
      <c r="C39" s="20" t="str">
        <f t="shared" si="0"/>
        <v/>
      </c>
      <c r="D39" s="20" t="str">
        <f>IF($A39="","",IFERROR(INDEX(配置数据库!$B:$B,MATCH(30,$P:$P,0)),""))</f>
        <v/>
      </c>
      <c r="E39" t="str">
        <f>IF($A39="","",IFERROR(INDEX(配置数据库!$G:$AG,MATCH($A39,配置数据库!$A:$A,0),MATCH($B$3,配置数据库!$G$8:$AG$8,0)),""))</f>
        <v/>
      </c>
      <c r="F39" t="str">
        <f t="shared" si="1"/>
        <v/>
      </c>
      <c r="G39" t="str">
        <f t="shared" si="2"/>
        <v/>
      </c>
      <c r="H39" t="str">
        <f t="shared" si="3"/>
        <v/>
      </c>
      <c r="I39" t="str">
        <f t="shared" si="4"/>
        <v/>
      </c>
      <c r="J39" t="str">
        <f t="shared" si="5"/>
        <v/>
      </c>
      <c r="K39" t="str">
        <f t="shared" si="6"/>
        <v/>
      </c>
      <c r="L39" t="str">
        <f t="shared" si="7"/>
        <v/>
      </c>
      <c r="M39" t="str">
        <f t="shared" si="8"/>
        <v/>
      </c>
      <c r="N39" t="str">
        <f t="shared" si="9"/>
        <v/>
      </c>
      <c r="O39" t="str">
        <f t="shared" si="10"/>
        <v/>
      </c>
      <c r="P39" t="str">
        <f>IF(AND(配置数据库!$C70="售前填写",INDEX(配置数据库!$G70:$AG70,1,MATCH($B$3,配置数据库!$G$8:$AG$8,0))&lt;&gt;""),SUMPRODUCT((配置数据库!$C$10:$C70="售前填写")*(INDEX(配置数据库!$G$10:$AG70,0,MATCH($B$3,配置数据库!$G$8:$AG$8,0))&lt;&gt;"")),"")</f>
        <v/>
      </c>
      <c r="Q39" t="str">
        <f>IF(AND(配置数据库!$C70="默认配置",INDEX(配置数据库!$G70:$AG70,1,MATCH($B$3,配置数据库!$G$8:$AG$8,0))&lt;&gt;""),SUMPRODUCT((配置数据库!$C$10:$C70="默认配置")*(INDEX(配置数据库!$G$10:$AG70,0,MATCH($B$3,配置数据库!$G$8:$AG$8,0))&lt;&gt;"")),"")</f>
        <v/>
      </c>
    </row>
    <row r="40" ht="28" customHeight="1" spans="1:17">
      <c r="A40" s="17" t="str">
        <f>IFERROR(INDEX(配置数据库!$A:$A,MATCH(31,$P:$P,0)),"")</f>
        <v/>
      </c>
      <c r="B40" s="20" t="str">
        <f>IF($A40="","",IFERROR(LEFT(SUBSTITUTE(IFERROR(INDEX(配置数据库!$G:$AG,MATCH(31,$P:$P,0),MATCH($B$3,配置数据库!$G$8:$AG$8,0)),""),";","；"),FIND("；",SUBSTITUTE(IFERROR(INDEX(配置数据库!$G:$AG,MATCH(31,$P:$P,0),MATCH($B$3,配置数据库!$G$8:$AG$8,0)),""),";","；"))-1),IFERROR(INDEX(配置数据库!$G:$AG,MATCH(31,$P:$P,0),MATCH($B$3,配置数据库!$G$8:$AG$8,0)),"")))</f>
        <v/>
      </c>
      <c r="C40" s="20" t="str">
        <f t="shared" si="0"/>
        <v/>
      </c>
      <c r="D40" s="20" t="str">
        <f>IF($A40="","",IFERROR(INDEX(配置数据库!$B:$B,MATCH(31,$P:$P,0)),""))</f>
        <v/>
      </c>
      <c r="E40" t="str">
        <f>IF($A40="","",IFERROR(INDEX(配置数据库!$G:$AG,MATCH($A40,配置数据库!$A:$A,0),MATCH($B$3,配置数据库!$G$8:$AG$8,0)),""))</f>
        <v/>
      </c>
      <c r="F40" t="str">
        <f t="shared" si="1"/>
        <v/>
      </c>
      <c r="G40" t="str">
        <f t="shared" si="2"/>
        <v/>
      </c>
      <c r="H40" t="str">
        <f t="shared" si="3"/>
        <v/>
      </c>
      <c r="I40" t="str">
        <f t="shared" si="4"/>
        <v/>
      </c>
      <c r="J40" t="str">
        <f t="shared" si="5"/>
        <v/>
      </c>
      <c r="K40" t="str">
        <f t="shared" si="6"/>
        <v/>
      </c>
      <c r="L40" t="str">
        <f t="shared" si="7"/>
        <v/>
      </c>
      <c r="M40" t="str">
        <f t="shared" si="8"/>
        <v/>
      </c>
      <c r="N40" t="str">
        <f t="shared" si="9"/>
        <v/>
      </c>
      <c r="O40" t="str">
        <f t="shared" si="10"/>
        <v/>
      </c>
      <c r="P40" t="str">
        <f>IF(AND(配置数据库!$C71="售前填写",INDEX(配置数据库!$G71:$AG71,1,MATCH($B$3,配置数据库!$G$8:$AG$8,0))&lt;&gt;""),SUMPRODUCT((配置数据库!$C$10:$C71="售前填写")*(INDEX(配置数据库!$G$10:$AG71,0,MATCH($B$3,配置数据库!$G$8:$AG$8,0))&lt;&gt;"")),"")</f>
        <v/>
      </c>
      <c r="Q40">
        <f>IF(AND(配置数据库!$C71="默认配置",INDEX(配置数据库!$G71:$AG71,1,MATCH($B$3,配置数据库!$G$8:$AG$8,0))&lt;&gt;""),SUMPRODUCT((配置数据库!$C$10:$C71="默认配置")*(INDEX(配置数据库!$G$10:$AG71,0,MATCH($B$3,配置数据库!$G$8:$AG$8,0))&lt;&gt;"")),"")</f>
        <v>6</v>
      </c>
    </row>
    <row r="41" ht="28" customHeight="1" spans="1:17">
      <c r="A41" s="17" t="str">
        <f>IFERROR(INDEX(配置数据库!$A:$A,MATCH(32,$P:$P,0)),"")</f>
        <v/>
      </c>
      <c r="B41" s="20" t="str">
        <f>IF($A41="","",IFERROR(LEFT(SUBSTITUTE(IFERROR(INDEX(配置数据库!$G:$AG,MATCH(32,$P:$P,0),MATCH($B$3,配置数据库!$G$8:$AG$8,0)),""),";","；"),FIND("；",SUBSTITUTE(IFERROR(INDEX(配置数据库!$G:$AG,MATCH(32,$P:$P,0),MATCH($B$3,配置数据库!$G$8:$AG$8,0)),""),";","；"))-1),IFERROR(INDEX(配置数据库!$G:$AG,MATCH(32,$P:$P,0),MATCH($B$3,配置数据库!$G$8:$AG$8,0)),"")))</f>
        <v/>
      </c>
      <c r="C41" s="20" t="str">
        <f t="shared" si="0"/>
        <v/>
      </c>
      <c r="D41" s="20" t="str">
        <f>IF($A41="","",IFERROR(INDEX(配置数据库!$B:$B,MATCH(32,$P:$P,0)),""))</f>
        <v/>
      </c>
      <c r="E41" t="str">
        <f>IF($A41="","",IFERROR(INDEX(配置数据库!$G:$AG,MATCH($A41,配置数据库!$A:$A,0),MATCH($B$3,配置数据库!$G$8:$AG$8,0)),""))</f>
        <v/>
      </c>
      <c r="F41" t="str">
        <f t="shared" si="1"/>
        <v/>
      </c>
      <c r="G41" t="str">
        <f t="shared" si="2"/>
        <v/>
      </c>
      <c r="H41" t="str">
        <f t="shared" si="3"/>
        <v/>
      </c>
      <c r="I41" t="str">
        <f t="shared" si="4"/>
        <v/>
      </c>
      <c r="J41" t="str">
        <f t="shared" si="5"/>
        <v/>
      </c>
      <c r="K41" t="str">
        <f t="shared" si="6"/>
        <v/>
      </c>
      <c r="L41" t="str">
        <f t="shared" si="7"/>
        <v/>
      </c>
      <c r="M41" t="str">
        <f t="shared" si="8"/>
        <v/>
      </c>
      <c r="N41" t="str">
        <f t="shared" si="9"/>
        <v/>
      </c>
      <c r="O41" t="str">
        <f t="shared" si="10"/>
        <v/>
      </c>
      <c r="P41" t="str">
        <f>IF(AND(配置数据库!$C72="售前填写",INDEX(配置数据库!$G72:$AG72,1,MATCH($B$3,配置数据库!$G$8:$AG$8,0))&lt;&gt;""),SUMPRODUCT((配置数据库!$C$10:$C72="售前填写")*(INDEX(配置数据库!$G$10:$AG72,0,MATCH($B$3,配置数据库!$G$8:$AG$8,0))&lt;&gt;"")),"")</f>
        <v/>
      </c>
      <c r="Q41">
        <f>IF(AND(配置数据库!$C72="默认配置",INDEX(配置数据库!$G72:$AG72,1,MATCH($B$3,配置数据库!$G$8:$AG$8,0))&lt;&gt;""),SUMPRODUCT((配置数据库!$C$10:$C72="默认配置")*(INDEX(配置数据库!$G$10:$AG72,0,MATCH($B$3,配置数据库!$G$8:$AG$8,0))&lt;&gt;"")),"")</f>
        <v>7</v>
      </c>
    </row>
    <row r="42" ht="28" customHeight="1" spans="1:17">
      <c r="A42" s="4" t="s">
        <v>17</v>
      </c>
      <c r="P42" t="str">
        <f>IF(AND(配置数据库!$C73="售前填写",INDEX(配置数据库!$G73:$AG73,1,MATCH($B$3,配置数据库!$G$8:$AG$8,0))&lt;&gt;""),SUMPRODUCT((配置数据库!$C$10:$C73="售前填写")*(INDEX(配置数据库!$G$10:$AG73,0,MATCH($B$3,配置数据库!$G$8:$AG$8,0))&lt;&gt;"")),"")</f>
        <v/>
      </c>
      <c r="Q42">
        <f>IF(AND(配置数据库!$C73="默认配置",INDEX(配置数据库!$G73:$AG73,1,MATCH($B$3,配置数据库!$G$8:$AG$8,0))&lt;&gt;""),SUMPRODUCT((配置数据库!$C$10:$C73="默认配置")*(INDEX(配置数据库!$G$10:$AG73,0,MATCH($B$3,配置数据库!$G$8:$AG$8,0))&lt;&gt;"")),"")</f>
        <v>8</v>
      </c>
    </row>
    <row r="43" ht="28" customHeight="1" spans="1:17">
      <c r="A43" s="17" t="str">
        <f>IFERROR(INDEX(配置数据库!$A:$A,MATCH(1,$Q:$Q,0)),"")</f>
        <v>现场电压</v>
      </c>
      <c r="B43" s="21" t="str">
        <f>IF($A43="","",IFERROR(LEFT(SUBSTITUTE(IFERROR(INDEX(配置数据库!$G:$AG,MATCH(1,$Q:$Q,0),MATCH($B$3,配置数据库!$G$8:$AG$8,0)),""),";","；"),FIND("；",SUBSTITUTE(IFERROR(INDEX(配置数据库!$G:$AG,MATCH(1,$Q:$Q,0),MATCH($B$3,配置数据库!$G$8:$AG$8,0)),""),";","；"))-1),IFERROR(INDEX(配置数据库!$G:$AG,MATCH(1,$Q:$Q,0),MATCH($B$3,配置数据库!$G$8:$AG$8,0)),"")))</f>
        <v/>
      </c>
      <c r="C43" s="17" t="str">
        <f t="shared" ref="C43:C106" si="11">IF($A43="","","自动带出")</f>
        <v>自动带出</v>
      </c>
      <c r="D43" s="17" t="str">
        <f>IF($A43="","",IFERROR(INDEX(配置数据库!$B:$B,MATCH(1,$Q:$Q,0)),""))</f>
        <v/>
      </c>
      <c r="E43" t="str">
        <f>IF($A43="","",IFERROR(INDEX(配置数据库!$G:$AG,MATCH($A43,配置数据库!$A:$A,0),MATCH($B$3,配置数据库!$G$8:$AG$8,0)),""))</f>
        <v/>
      </c>
      <c r="F43" t="str">
        <f t="shared" ref="F43:F106" si="12">IF(ISNUMBER(SEARCH("；",SUBSTITUTE($E43,";","；"))),TRIM(MID(SUBSTITUTE(SUBSTITUTE($E43,";","；"),"；",REPT(" ",100)),1,100)),"")</f>
        <v/>
      </c>
      <c r="G43" t="str">
        <f t="shared" ref="G43:G106" si="13">IF(ISNUMBER(SEARCH("；",SUBSTITUTE($E43,";","；"))),TRIM(MID(SUBSTITUTE(SUBSTITUTE($E43,";","；"),"；",REPT(" ",100)),101,100)),"")</f>
        <v/>
      </c>
      <c r="H43" t="str">
        <f t="shared" ref="H43:H106" si="14">IF(ISNUMBER(SEARCH("；",SUBSTITUTE($E43,";","；"))),TRIM(MID(SUBSTITUTE(SUBSTITUTE($E43,";","；"),"；",REPT(" ",100)),201,100)),"")</f>
        <v/>
      </c>
      <c r="I43" t="str">
        <f t="shared" ref="I43:I106" si="15">IF(ISNUMBER(SEARCH("；",SUBSTITUTE($E43,";","；"))),TRIM(MID(SUBSTITUTE(SUBSTITUTE($E43,";","；"),"；",REPT(" ",100)),301,100)),"")</f>
        <v/>
      </c>
      <c r="J43" t="str">
        <f t="shared" ref="J43:J106" si="16">IF(ISNUMBER(SEARCH("；",SUBSTITUTE($E43,";","；"))),TRIM(MID(SUBSTITUTE(SUBSTITUTE($E43,";","；"),"；",REPT(" ",100)),401,100)),"")</f>
        <v/>
      </c>
      <c r="K43" t="str">
        <f t="shared" ref="K43:K106" si="17">IF(ISNUMBER(SEARCH("；",SUBSTITUTE($E43,";","；"))),TRIM(MID(SUBSTITUTE(SUBSTITUTE($E43,";","；"),"；",REPT(" ",100)),501,100)),"")</f>
        <v/>
      </c>
      <c r="L43" t="str">
        <f t="shared" ref="L43:L106" si="18">IF(ISNUMBER(SEARCH("；",SUBSTITUTE($E43,";","；"))),TRIM(MID(SUBSTITUTE(SUBSTITUTE($E43,";","；"),"；",REPT(" ",100)),601,100)),"")</f>
        <v/>
      </c>
      <c r="M43" t="str">
        <f t="shared" ref="M43:M106" si="19">IF(ISNUMBER(SEARCH("；",SUBSTITUTE($E43,";","；"))),TRIM(MID(SUBSTITUTE(SUBSTITUTE($E43,";","；"),"；",REPT(" ",100)),701,100)),"")</f>
        <v/>
      </c>
      <c r="N43" t="str">
        <f t="shared" ref="N43:N106" si="20">IF(ISNUMBER(SEARCH("；",SUBSTITUTE($E43,";","；"))),TRIM(MID(SUBSTITUTE(SUBSTITUTE($E43,";","；"),"；",REPT(" ",100)),801,100)),"")</f>
        <v/>
      </c>
      <c r="O43" t="str">
        <f t="shared" ref="O43:O106" si="21">IF(ISNUMBER(SEARCH("；",SUBSTITUTE($E43,";","；"))),TRIM(MID(SUBSTITUTE(SUBSTITUTE($E43,";","；"),"；",REPT(" ",100)),901,100)),"")</f>
        <v/>
      </c>
      <c r="P43" t="str">
        <f>IF(AND(配置数据库!$C74="售前填写",INDEX(配置数据库!$G74:$AG74,1,MATCH($B$3,配置数据库!$G$8:$AG$8,0))&lt;&gt;""),SUMPRODUCT((配置数据库!$C$10:$C74="售前填写")*(INDEX(配置数据库!$G$10:$AG74,0,MATCH($B$3,配置数据库!$G$8:$AG$8,0))&lt;&gt;"")),"")</f>
        <v/>
      </c>
      <c r="Q43">
        <f>IF(AND(配置数据库!$C74="默认配置",INDEX(配置数据库!$G74:$AG74,1,MATCH($B$3,配置数据库!$G$8:$AG$8,0))&lt;&gt;""),SUMPRODUCT((配置数据库!$C$10:$C74="默认配置")*(INDEX(配置数据库!$G$10:$AG74,0,MATCH($B$3,配置数据库!$G$8:$AG$8,0))&lt;&gt;"")),"")</f>
        <v>9</v>
      </c>
    </row>
    <row r="44" ht="28" customHeight="1" spans="1:17">
      <c r="A44" s="17" t="str">
        <f>IFERROR(INDEX(配置数据库!$A:$A,MATCH(2,$Q:$Q,0)),"")</f>
        <v>电源插座接口图片</v>
      </c>
      <c r="B44" s="21" t="str">
        <f>IF($A44="","",IFERROR(LEFT(SUBSTITUTE(IFERROR(INDEX(配置数据库!$G:$AG,MATCH(2,$Q:$Q,0),MATCH($B$3,配置数据库!$G$8:$AG$8,0)),""),";","；"),FIND("；",SUBSTITUTE(IFERROR(INDEX(配置数据库!$G:$AG,MATCH(2,$Q:$Q,0),MATCH($B$3,配置数据库!$G$8:$AG$8,0)),""),";","；"))-1),IFERROR(INDEX(配置数据库!$G:$AG,MATCH(2,$Q:$Q,0),MATCH($B$3,配置数据库!$G$8:$AG$8,0)),"")))</f>
        <v>请附图片</v>
      </c>
      <c r="C44" s="17" t="str">
        <f t="shared" si="11"/>
        <v>自动带出</v>
      </c>
      <c r="D44" s="17" t="str">
        <f>IF($A44="","",IFERROR(INDEX(配置数据库!$B:$B,MATCH(2,$Q:$Q,0)),""))</f>
        <v/>
      </c>
      <c r="E44" t="str">
        <f>IF($A44="","",IFERROR(INDEX(配置数据库!$G:$AG,MATCH($A44,配置数据库!$A:$A,0),MATCH($B$3,配置数据库!$G$8:$AG$8,0)),""))</f>
        <v>请附图片</v>
      </c>
      <c r="F44" t="str">
        <f t="shared" si="12"/>
        <v/>
      </c>
      <c r="G44" t="str">
        <f t="shared" si="13"/>
        <v/>
      </c>
      <c r="H44" t="str">
        <f t="shared" si="14"/>
        <v/>
      </c>
      <c r="I44" t="str">
        <f t="shared" si="15"/>
        <v/>
      </c>
      <c r="J44" t="str">
        <f t="shared" si="16"/>
        <v/>
      </c>
      <c r="K44" t="str">
        <f t="shared" si="17"/>
        <v/>
      </c>
      <c r="L44" t="str">
        <f t="shared" si="18"/>
        <v/>
      </c>
      <c r="M44" t="str">
        <f t="shared" si="19"/>
        <v/>
      </c>
      <c r="N44" t="str">
        <f t="shared" si="20"/>
        <v/>
      </c>
      <c r="O44" t="str">
        <f t="shared" si="21"/>
        <v/>
      </c>
      <c r="P44" t="str">
        <f>IF(AND(配置数据库!$C75="售前填写",INDEX(配置数据库!$G75:$AG75,1,MATCH($B$3,配置数据库!$G$8:$AG$8,0))&lt;&gt;""),SUMPRODUCT((配置数据库!$C$10:$C75="售前填写")*(INDEX(配置数据库!$G$10:$AG75,0,MATCH($B$3,配置数据库!$G$8:$AG$8,0))&lt;&gt;"")),"")</f>
        <v/>
      </c>
      <c r="Q44">
        <f>IF(AND(配置数据库!$C75="默认配置",INDEX(配置数据库!$G75:$AG75,1,MATCH($B$3,配置数据库!$G$8:$AG$8,0))&lt;&gt;""),SUMPRODUCT((配置数据库!$C$10:$C75="默认配置")*(INDEX(配置数据库!$G$10:$AG75,0,MATCH($B$3,配置数据库!$G$8:$AG$8,0))&lt;&gt;"")),"")</f>
        <v>10</v>
      </c>
    </row>
    <row r="45" ht="28" customHeight="1" spans="1:17">
      <c r="A45" s="17" t="str">
        <f>IFERROR(INDEX(配置数据库!$A:$A,MATCH(3,$Q:$Q,0)),"")</f>
        <v>电源插头型号</v>
      </c>
      <c r="B45" s="21">
        <f>IF($A45="","",IFERROR(LEFT(SUBSTITUTE(IFERROR(INDEX(配置数据库!$G:$AG,MATCH(3,$Q:$Q,0),MATCH($B$3,配置数据库!$G$8:$AG$8,0)),""),";","；"),FIND("；",SUBSTITUTE(IFERROR(INDEX(配置数据库!$G:$AG,MATCH(3,$Q:$Q,0),MATCH($B$3,配置数据库!$G$8:$AG$8,0)),""),";","；"))-1),IFERROR(INDEX(配置数据库!$G:$AG,MATCH(3,$Q:$Q,0),MATCH($B$3,配置数据库!$G$8:$AG$8,0)),"")))</f>
        <v>0</v>
      </c>
      <c r="C45" s="17" t="str">
        <f t="shared" si="11"/>
        <v>自动带出</v>
      </c>
      <c r="D45" s="17">
        <f>IF($A45="","",IFERROR(INDEX(配置数据库!$B:$B,MATCH(3,$Q:$Q,0)),""))</f>
        <v>0</v>
      </c>
      <c r="E45">
        <f>IF($A45="","",IFERROR(INDEX(配置数据库!$G:$AG,MATCH($A45,配置数据库!$A:$A,0),MATCH($B$3,配置数据库!$G$8:$AG$8,0)),""))</f>
        <v>0</v>
      </c>
      <c r="F45" t="str">
        <f t="shared" si="12"/>
        <v/>
      </c>
      <c r="G45" t="str">
        <f t="shared" si="13"/>
        <v/>
      </c>
      <c r="H45" t="str">
        <f t="shared" si="14"/>
        <v/>
      </c>
      <c r="I45" t="str">
        <f t="shared" si="15"/>
        <v/>
      </c>
      <c r="J45" t="str">
        <f t="shared" si="16"/>
        <v/>
      </c>
      <c r="K45" t="str">
        <f t="shared" si="17"/>
        <v/>
      </c>
      <c r="L45" t="str">
        <f t="shared" si="18"/>
        <v/>
      </c>
      <c r="M45" t="str">
        <f t="shared" si="19"/>
        <v/>
      </c>
      <c r="N45" t="str">
        <f t="shared" si="20"/>
        <v/>
      </c>
      <c r="O45" t="str">
        <f t="shared" si="21"/>
        <v/>
      </c>
      <c r="P45" t="str">
        <f>IF(AND(配置数据库!$C76="售前填写",INDEX(配置数据库!$G76:$AG76,1,MATCH($B$3,配置数据库!$G$8:$AG$8,0))&lt;&gt;""),SUMPRODUCT((配置数据库!$C$10:$C76="售前填写")*(INDEX(配置数据库!$G$10:$AG76,0,MATCH($B$3,配置数据库!$G$8:$AG$8,0))&lt;&gt;"")),"")</f>
        <v/>
      </c>
      <c r="Q45">
        <f>IF(AND(配置数据库!$C76="默认配置",INDEX(配置数据库!$G76:$AG76,1,MATCH($B$3,配置数据库!$G$8:$AG$8,0))&lt;&gt;""),SUMPRODUCT((配置数据库!$C$10:$C76="默认配置")*(INDEX(配置数据库!$G$10:$AG76,0,MATCH($B$3,配置数据库!$G$8:$AG$8,0))&lt;&gt;"")),"")</f>
        <v>11</v>
      </c>
    </row>
    <row r="46" ht="28" customHeight="1" spans="1:17">
      <c r="A46" s="17" t="str">
        <f>IFERROR(INDEX(配置数据库!$A:$A,MATCH(4,$Q:$Q,0)),"")</f>
        <v>充电极板</v>
      </c>
      <c r="B46" s="21" t="str">
        <f>IF($A46="","",IFERROR(LEFT(SUBSTITUTE(IFERROR(INDEX(配置数据库!$G:$AG,MATCH(4,$Q:$Q,0),MATCH($B$3,配置数据库!$G$8:$AG$8,0)),""),";","；"),FIND("；",SUBSTITUTE(IFERROR(INDEX(配置数据库!$G:$AG,MATCH(4,$Q:$Q,0),MATCH($B$3,配置数据库!$G$8:$AG$8,0)),""),";","；"))-1),IFERROR(INDEX(配置数据库!$G:$AG,MATCH(4,$Q:$Q,0),MATCH($B$3,配置数据库!$G$8:$AG$8,0)),"")))</f>
        <v>侧充</v>
      </c>
      <c r="C46" s="17" t="str">
        <f t="shared" si="11"/>
        <v>自动带出</v>
      </c>
      <c r="D46" s="17">
        <f>IF($A46="","",IFERROR(INDEX(配置数据库!$B:$B,MATCH(4,$Q:$Q,0)),""))</f>
        <v>0</v>
      </c>
      <c r="E46" t="str">
        <f>IF($A46="","",IFERROR(INDEX(配置数据库!$G:$AG,MATCH($A46,配置数据库!$A:$A,0),MATCH($B$3,配置数据库!$G$8:$AG$8,0)),""))</f>
        <v>侧充</v>
      </c>
      <c r="F46" t="str">
        <f t="shared" si="12"/>
        <v/>
      </c>
      <c r="G46" t="str">
        <f t="shared" si="13"/>
        <v/>
      </c>
      <c r="H46" t="str">
        <f t="shared" si="14"/>
        <v/>
      </c>
      <c r="I46" t="str">
        <f t="shared" si="15"/>
        <v/>
      </c>
      <c r="J46" t="str">
        <f t="shared" si="16"/>
        <v/>
      </c>
      <c r="K46" t="str">
        <f t="shared" si="17"/>
        <v/>
      </c>
      <c r="L46" t="str">
        <f t="shared" si="18"/>
        <v/>
      </c>
      <c r="M46" t="str">
        <f t="shared" si="19"/>
        <v/>
      </c>
      <c r="N46" t="str">
        <f t="shared" si="20"/>
        <v/>
      </c>
      <c r="O46" t="str">
        <f t="shared" si="21"/>
        <v/>
      </c>
      <c r="P46" t="str">
        <f>IF(AND(配置数据库!$C77="售前填写",INDEX(配置数据库!$G77:$AG77,1,MATCH($B$3,配置数据库!$G$8:$AG$8,0))&lt;&gt;""),SUMPRODUCT((配置数据库!$C$10:$C77="售前填写")*(INDEX(配置数据库!$G$10:$AG77,0,MATCH($B$3,配置数据库!$G$8:$AG$8,0))&lt;&gt;"")),"")</f>
        <v/>
      </c>
      <c r="Q46">
        <f>IF(AND(配置数据库!$C77="默认配置",INDEX(配置数据库!$G77:$AG77,1,MATCH($B$3,配置数据库!$G$8:$AG$8,0))&lt;&gt;""),SUMPRODUCT((配置数据库!$C$10:$C77="默认配置")*(INDEX(配置数据库!$G$10:$AG77,0,MATCH($B$3,配置数据库!$G$8:$AG$8,0))&lt;&gt;"")),"")</f>
        <v>12</v>
      </c>
    </row>
    <row r="47" ht="28" customHeight="1" spans="1:17">
      <c r="A47" s="17" t="str">
        <f>IFERROR(INDEX(配置数据库!$A:$A,MATCH(5,$Q:$Q,0)),"")</f>
        <v>托盘</v>
      </c>
      <c r="B47" s="21">
        <f>IF($A47="","",IFERROR(LEFT(SUBSTITUTE(IFERROR(INDEX(配置数据库!$G:$AG,MATCH(5,$Q:$Q,0),MATCH($B$3,配置数据库!$G$8:$AG$8,0)),""),";","；"),FIND("；",SUBSTITUTE(IFERROR(INDEX(配置数据库!$G:$AG,MATCH(5,$Q:$Q,0),MATCH($B$3,配置数据库!$G$8:$AG$8,0)),""),";","；"))-1),IFERROR(INDEX(配置数据库!$G:$AG,MATCH(5,$Q:$Q,0),MATCH($B$3,配置数据库!$G$8:$AG$8,0)),"")))</f>
        <v>0</v>
      </c>
      <c r="C47" s="17" t="str">
        <f t="shared" si="11"/>
        <v>自动带出</v>
      </c>
      <c r="D47" s="17" t="str">
        <f>IF($A47="","",IFERROR(INDEX(配置数据库!$B:$B,MATCH(5,$Q:$Q,0)),""))</f>
        <v>配图</v>
      </c>
      <c r="E47">
        <f>IF($A47="","",IFERROR(INDEX(配置数据库!$G:$AG,MATCH($A47,配置数据库!$A:$A,0),MATCH($B$3,配置数据库!$G$8:$AG$8,0)),""))</f>
        <v>0</v>
      </c>
      <c r="F47" t="str">
        <f t="shared" si="12"/>
        <v/>
      </c>
      <c r="G47" t="str">
        <f t="shared" si="13"/>
        <v/>
      </c>
      <c r="H47" t="str">
        <f t="shared" si="14"/>
        <v/>
      </c>
      <c r="I47" t="str">
        <f t="shared" si="15"/>
        <v/>
      </c>
      <c r="J47" t="str">
        <f t="shared" si="16"/>
        <v/>
      </c>
      <c r="K47" t="str">
        <f t="shared" si="17"/>
        <v/>
      </c>
      <c r="L47" t="str">
        <f t="shared" si="18"/>
        <v/>
      </c>
      <c r="M47" t="str">
        <f t="shared" si="19"/>
        <v/>
      </c>
      <c r="N47" t="str">
        <f t="shared" si="20"/>
        <v/>
      </c>
      <c r="O47" t="str">
        <f t="shared" si="21"/>
        <v/>
      </c>
      <c r="P47" t="e">
        <f>IF(AND(配置数据库!#REF!="售前填写",INDEX(配置数据库!#REF!,1,MATCH($B$3,配置数据库!$G$8:$AG$8,0))&lt;&gt;""),SUMPRODUCT((配置数据库!$C$10:$C79="售前填写")*(INDEX(配置数据库!$G$10:$AG79,0,MATCH($B$3,配置数据库!$G$8:$AG$8,0))&lt;&gt;"")),"")</f>
        <v>#REF!</v>
      </c>
      <c r="Q47" t="e">
        <f>IF(AND(配置数据库!#REF!="默认配置",INDEX(配置数据库!#REF!,1,MATCH($B$3,配置数据库!$G$8:$AG$8,0))&lt;&gt;""),SUMPRODUCT((配置数据库!$C$10:$C79="默认配置")*(INDEX(配置数据库!$G$10:$AG79,0,MATCH($B$3,配置数据库!$G$8:$AG$8,0))&lt;&gt;"")),"")</f>
        <v>#REF!</v>
      </c>
    </row>
    <row r="48" ht="28" customHeight="1" spans="1:17">
      <c r="A48" s="17" t="str">
        <f>IFERROR(INDEX(配置数据库!$A:$A,MATCH(6,$Q:$Q,0)),"")</f>
        <v>设备图片</v>
      </c>
      <c r="B48" s="21" t="str">
        <f>IF($A48="","",IFERROR(LEFT(SUBSTITUTE(IFERROR(INDEX(配置数据库!$G:$AG,MATCH(6,$Q:$Q,0),MATCH($B$3,配置数据库!$G$8:$AG$8,0)),""),";","；"),FIND("；",SUBSTITUTE(IFERROR(INDEX(配置数据库!$G:$AG,MATCH(6,$Q:$Q,0),MATCH($B$3,配置数据库!$G$8:$AG$8,0)),""),";","；"))-1),IFERROR(INDEX(配置数据库!$G:$AG,MATCH(6,$Q:$Q,0),MATCH($B$3,配置数据库!$G$8:$AG$8,0)),"")))</f>
        <v>请附图片</v>
      </c>
      <c r="C48" s="17" t="str">
        <f t="shared" si="11"/>
        <v>自动带出</v>
      </c>
      <c r="D48" s="17">
        <f>IF($A48="","",IFERROR(INDEX(配置数据库!$B:$B,MATCH(6,$Q:$Q,0)),""))</f>
        <v>0</v>
      </c>
      <c r="E48" t="str">
        <f>IF($A48="","",IFERROR(INDEX(配置数据库!$G:$AG,MATCH($A48,配置数据库!$A:$A,0),MATCH($B$3,配置数据库!$G$8:$AG$8,0)),""))</f>
        <v>请附图片</v>
      </c>
      <c r="F48" t="str">
        <f t="shared" si="12"/>
        <v/>
      </c>
      <c r="G48" t="str">
        <f t="shared" si="13"/>
        <v/>
      </c>
      <c r="H48" t="str">
        <f t="shared" si="14"/>
        <v/>
      </c>
      <c r="I48" t="str">
        <f t="shared" si="15"/>
        <v/>
      </c>
      <c r="J48" t="str">
        <f t="shared" si="16"/>
        <v/>
      </c>
      <c r="K48" t="str">
        <f t="shared" si="17"/>
        <v/>
      </c>
      <c r="L48" t="str">
        <f t="shared" si="18"/>
        <v/>
      </c>
      <c r="M48" t="str">
        <f t="shared" si="19"/>
        <v/>
      </c>
      <c r="N48" t="str">
        <f t="shared" si="20"/>
        <v/>
      </c>
      <c r="O48" t="str">
        <f t="shared" si="21"/>
        <v/>
      </c>
      <c r="P48" t="str">
        <f>IF(AND(配置数据库!$C80="售前填写",INDEX(配置数据库!$G80:$AG80,1,MATCH($B$3,配置数据库!$G$8:$AG$8,0))&lt;&gt;""),SUMPRODUCT((配置数据库!$C$10:$C80="售前填写")*(INDEX(配置数据库!$G$10:$AG80,0,MATCH($B$3,配置数据库!$G$8:$AG$8,0))&lt;&gt;"")),"")</f>
        <v/>
      </c>
      <c r="Q48">
        <f>IF(AND(配置数据库!$C80="默认配置",INDEX(配置数据库!$G80:$AG80,1,MATCH($B$3,配置数据库!$G$8:$AG$8,0))&lt;&gt;""),SUMPRODUCT((配置数据库!$C$10:$C80="默认配置")*(INDEX(配置数据库!$G$10:$AG80,0,MATCH($B$3,配置数据库!$G$8:$AG$8,0))&lt;&gt;"")),"")</f>
        <v>14</v>
      </c>
    </row>
    <row r="49" ht="28" customHeight="1" spans="1:17">
      <c r="A49" s="17" t="str">
        <f>IFERROR(INDEX(配置数据库!$A:$A,MATCH(7,$Q:$Q,0)),"")</f>
        <v>L 托盘长度(mm)</v>
      </c>
      <c r="B49" s="21" t="str">
        <f>IF($A49="","",IFERROR(LEFT(SUBSTITUTE(IFERROR(INDEX(配置数据库!$G:$AG,MATCH(7,$Q:$Q,0),MATCH($B$3,配置数据库!$G$8:$AG$8,0)),""),";","；"),FIND("；",SUBSTITUTE(IFERROR(INDEX(配置数据库!$G:$AG,MATCH(7,$Q:$Q,0),MATCH($B$3,配置数据库!$G$8:$AG$8,0)),""),";","；"))-1),IFERROR(INDEX(配置数据库!$G:$AG,MATCH(7,$Q:$Q,0),MATCH($B$3,配置数据库!$G$8:$AG$8,0)),"")))</f>
        <v/>
      </c>
      <c r="C49" s="17" t="str">
        <f t="shared" si="11"/>
        <v>自动带出</v>
      </c>
      <c r="D49" s="17" t="str">
        <f>IF($A49="","",IFERROR(INDEX(配置数据库!$B:$B,MATCH(7,$Q:$Q,0)),""))</f>
        <v>=DISPIMG("ID_C2F230443A18475AB3F0BC6E14580AE9",1)</v>
      </c>
      <c r="E49" t="str">
        <f>IF($A49="","",IFERROR(INDEX(配置数据库!$G:$AG,MATCH($A49,配置数据库!$A:$A,0),MATCH($B$3,配置数据库!$G$8:$AG$8,0)),""))</f>
        <v/>
      </c>
      <c r="F49" t="str">
        <f t="shared" si="12"/>
        <v/>
      </c>
      <c r="G49" t="str">
        <f t="shared" si="13"/>
        <v/>
      </c>
      <c r="H49" t="str">
        <f t="shared" si="14"/>
        <v/>
      </c>
      <c r="I49" t="str">
        <f t="shared" si="15"/>
        <v/>
      </c>
      <c r="J49" t="str">
        <f t="shared" si="16"/>
        <v/>
      </c>
      <c r="K49" t="str">
        <f t="shared" si="17"/>
        <v/>
      </c>
      <c r="L49" t="str">
        <f t="shared" si="18"/>
        <v/>
      </c>
      <c r="M49" t="str">
        <f t="shared" si="19"/>
        <v/>
      </c>
      <c r="N49" t="str">
        <f t="shared" si="20"/>
        <v/>
      </c>
      <c r="O49" t="str">
        <f t="shared" si="21"/>
        <v/>
      </c>
      <c r="P49" t="str">
        <f>IF(AND(配置数据库!$C81="售前填写",INDEX(配置数据库!$G81:$AG81,1,MATCH($B$3,配置数据库!$G$8:$AG$8,0))&lt;&gt;""),SUMPRODUCT((配置数据库!$C$10:$C81="售前填写")*(INDEX(配置数据库!$G$10:$AG81,0,MATCH($B$3,配置数据库!$G$8:$AG$8,0))&lt;&gt;"")),"")</f>
        <v/>
      </c>
      <c r="Q49">
        <f>IF(AND(配置数据库!$C81="默认配置",INDEX(配置数据库!$G81:$AG81,1,MATCH($B$3,配置数据库!$G$8:$AG$8,0))&lt;&gt;""),SUMPRODUCT((配置数据库!$C$10:$C81="默认配置")*(INDEX(配置数据库!$G$10:$AG81,0,MATCH($B$3,配置数据库!$G$8:$AG$8,0))&lt;&gt;"")),"")</f>
        <v>15</v>
      </c>
    </row>
    <row r="50" ht="28" customHeight="1" spans="1:17">
      <c r="A50" s="17" t="str">
        <f>IFERROR(INDEX(配置数据库!$A:$A,MATCH(8,$Q:$Q,0)),"")</f>
        <v>W 托盘宽度（对接侧）(mm)</v>
      </c>
      <c r="B50" s="21" t="str">
        <f>IF($A50="","",IFERROR(LEFT(SUBSTITUTE(IFERROR(INDEX(配置数据库!$G:$AG,MATCH(8,$Q:$Q,0),MATCH($B$3,配置数据库!$G$8:$AG$8,0)),""),";","；"),FIND("；",SUBSTITUTE(IFERROR(INDEX(配置数据库!$G:$AG,MATCH(8,$Q:$Q,0),MATCH($B$3,配置数据库!$G$8:$AG$8,0)),""),";","；"))-1),IFERROR(INDEX(配置数据库!$G:$AG,MATCH(8,$Q:$Q,0),MATCH($B$3,配置数据库!$G$8:$AG$8,0)),"")))</f>
        <v/>
      </c>
      <c r="C50" s="17" t="str">
        <f t="shared" si="11"/>
        <v>自动带出</v>
      </c>
      <c r="D50" s="17">
        <f>IF($A50="","",IFERROR(INDEX(配置数据库!$B:$B,MATCH(8,$Q:$Q,0)),""))</f>
        <v>0</v>
      </c>
      <c r="E50" t="str">
        <f>IF($A50="","",IFERROR(INDEX(配置数据库!$G:$AG,MATCH($A50,配置数据库!$A:$A,0),MATCH($B$3,配置数据库!$G$8:$AG$8,0)),""))</f>
        <v/>
      </c>
      <c r="F50" t="str">
        <f t="shared" si="12"/>
        <v/>
      </c>
      <c r="G50" t="str">
        <f t="shared" si="13"/>
        <v/>
      </c>
      <c r="H50" t="str">
        <f t="shared" si="14"/>
        <v/>
      </c>
      <c r="I50" t="str">
        <f t="shared" si="15"/>
        <v/>
      </c>
      <c r="J50" t="str">
        <f t="shared" si="16"/>
        <v/>
      </c>
      <c r="K50" t="str">
        <f t="shared" si="17"/>
        <v/>
      </c>
      <c r="L50" t="str">
        <f t="shared" si="18"/>
        <v/>
      </c>
      <c r="M50" t="str">
        <f t="shared" si="19"/>
        <v/>
      </c>
      <c r="N50" t="str">
        <f t="shared" si="20"/>
        <v/>
      </c>
      <c r="O50" t="str">
        <f t="shared" si="21"/>
        <v/>
      </c>
      <c r="P50" t="str">
        <f>IF(AND(配置数据库!$C82="售前填写",INDEX(配置数据库!$G82:$AG82,1,MATCH($B$3,配置数据库!$G$8:$AG$8,0))&lt;&gt;""),SUMPRODUCT((配置数据库!$C$10:$C82="售前填写")*(INDEX(配置数据库!$G$10:$AG82,0,MATCH($B$3,配置数据库!$G$8:$AG$8,0))&lt;&gt;"")),"")</f>
        <v/>
      </c>
      <c r="Q50">
        <f>IF(AND(配置数据库!$C82="默认配置",INDEX(配置数据库!$G82:$AG82,1,MATCH($B$3,配置数据库!$G$8:$AG$8,0))&lt;&gt;""),SUMPRODUCT((配置数据库!$C$10:$C82="默认配置")*(INDEX(配置数据库!$G$10:$AG82,0,MATCH($B$3,配置数据库!$G$8:$AG$8,0))&lt;&gt;"")),"")</f>
        <v>16</v>
      </c>
    </row>
    <row r="51" ht="28" customHeight="1" spans="1:17">
      <c r="A51" s="17" t="str">
        <f>IFERROR(INDEX(配置数据库!$A:$A,MATCH(9,$Q:$Q,0)),"")</f>
        <v>H 托盘高度(mm)</v>
      </c>
      <c r="B51" s="21">
        <f>IF($A51="","",IFERROR(LEFT(SUBSTITUTE(IFERROR(INDEX(配置数据库!$G:$AG,MATCH(9,$Q:$Q,0),MATCH($B$3,配置数据库!$G$8:$AG$8,0)),""),";","；"),FIND("；",SUBSTITUTE(IFERROR(INDEX(配置数据库!$G:$AG,MATCH(9,$Q:$Q,0),MATCH($B$3,配置数据库!$G$8:$AG$8,0)),""),";","；"))-1),IFERROR(INDEX(配置数据库!$G:$AG,MATCH(9,$Q:$Q,0),MATCH($B$3,配置数据库!$G$8:$AG$8,0)),"")))</f>
        <v>0</v>
      </c>
      <c r="C51" s="17" t="str">
        <f t="shared" si="11"/>
        <v>自动带出</v>
      </c>
      <c r="D51" s="17">
        <f>IF($A51="","",IFERROR(INDEX(配置数据库!$B:$B,MATCH(9,$Q:$Q,0)),""))</f>
        <v>0</v>
      </c>
      <c r="E51">
        <f>IF($A51="","",IFERROR(INDEX(配置数据库!$G:$AG,MATCH($A51,配置数据库!$A:$A,0),MATCH($B$3,配置数据库!$G$8:$AG$8,0)),""))</f>
        <v>0</v>
      </c>
      <c r="F51" t="str">
        <f t="shared" si="12"/>
        <v/>
      </c>
      <c r="G51" t="str">
        <f t="shared" si="13"/>
        <v/>
      </c>
      <c r="H51" t="str">
        <f t="shared" si="14"/>
        <v/>
      </c>
      <c r="I51" t="str">
        <f t="shared" si="15"/>
        <v/>
      </c>
      <c r="J51" t="str">
        <f t="shared" si="16"/>
        <v/>
      </c>
      <c r="K51" t="str">
        <f t="shared" si="17"/>
        <v/>
      </c>
      <c r="L51" t="str">
        <f t="shared" si="18"/>
        <v/>
      </c>
      <c r="M51" t="str">
        <f t="shared" si="19"/>
        <v/>
      </c>
      <c r="N51" t="str">
        <f t="shared" si="20"/>
        <v/>
      </c>
      <c r="O51" t="str">
        <f t="shared" si="21"/>
        <v/>
      </c>
      <c r="P51" t="str">
        <f>IF(AND(配置数据库!$C83="售前填写",INDEX(配置数据库!$G83:$AG83,1,MATCH($B$3,配置数据库!$G$8:$AG$8,0))&lt;&gt;""),SUMPRODUCT((配置数据库!$C$10:$C83="售前填写")*(INDEX(配置数据库!$G$10:$AG83,0,MATCH($B$3,配置数据库!$G$8:$AG$8,0))&lt;&gt;"")),"")</f>
        <v/>
      </c>
      <c r="Q51">
        <f>IF(AND(配置数据库!$C83="默认配置",INDEX(配置数据库!$G83:$AG83,1,MATCH($B$3,配置数据库!$G$8:$AG$8,0))&lt;&gt;""),SUMPRODUCT((配置数据库!$C$10:$C83="默认配置")*(INDEX(配置数据库!$G$10:$AG83,0,MATCH($B$3,配置数据库!$G$8:$AG$8,0))&lt;&gt;"")),"")</f>
        <v>17</v>
      </c>
    </row>
    <row r="52" ht="28" customHeight="1" spans="1:17">
      <c r="A52" s="17" t="str">
        <f>IFERROR(INDEX(配置数据库!$A:$A,MATCH(10,$Q:$Q,0)),"")</f>
        <v>叉取方向两侧立柱宽-W1(mm)</v>
      </c>
      <c r="B52" s="21">
        <f>IF($A52="","",IFERROR(LEFT(SUBSTITUTE(IFERROR(INDEX(配置数据库!$G:$AG,MATCH(10,$Q:$Q,0),MATCH($B$3,配置数据库!$G$8:$AG$8,0)),""),";","；"),FIND("；",SUBSTITUTE(IFERROR(INDEX(配置数据库!$G:$AG,MATCH(10,$Q:$Q,0),MATCH($B$3,配置数据库!$G$8:$AG$8,0)),""),";","；"))-1),IFERROR(INDEX(配置数据库!$G:$AG,MATCH(10,$Q:$Q,0),MATCH($B$3,配置数据库!$G$8:$AG$8,0)),"")))</f>
        <v>0</v>
      </c>
      <c r="C52" s="17" t="str">
        <f t="shared" si="11"/>
        <v>自动带出</v>
      </c>
      <c r="D52" s="17">
        <f>IF($A52="","",IFERROR(INDEX(配置数据库!$B:$B,MATCH(10,$Q:$Q,0)),""))</f>
        <v>0</v>
      </c>
      <c r="E52">
        <f>IF($A52="","",IFERROR(INDEX(配置数据库!$G:$AG,MATCH($A52,配置数据库!$A:$A,0),MATCH($B$3,配置数据库!$G$8:$AG$8,0)),""))</f>
        <v>0</v>
      </c>
      <c r="F52" t="str">
        <f t="shared" si="12"/>
        <v/>
      </c>
      <c r="G52" t="str">
        <f t="shared" si="13"/>
        <v/>
      </c>
      <c r="H52" t="str">
        <f t="shared" si="14"/>
        <v/>
      </c>
      <c r="I52" t="str">
        <f t="shared" si="15"/>
        <v/>
      </c>
      <c r="J52" t="str">
        <f t="shared" si="16"/>
        <v/>
      </c>
      <c r="K52" t="str">
        <f t="shared" si="17"/>
        <v/>
      </c>
      <c r="L52" t="str">
        <f t="shared" si="18"/>
        <v/>
      </c>
      <c r="M52" t="str">
        <f t="shared" si="19"/>
        <v/>
      </c>
      <c r="N52" t="str">
        <f t="shared" si="20"/>
        <v/>
      </c>
      <c r="O52" t="str">
        <f t="shared" si="21"/>
        <v/>
      </c>
      <c r="P52" t="str">
        <f>IF(AND(配置数据库!$C84="售前填写",INDEX(配置数据库!$G84:$AG84,1,MATCH($B$3,配置数据库!$G$8:$AG$8,0))&lt;&gt;""),SUMPRODUCT((配置数据库!$C$10:$C84="售前填写")*(INDEX(配置数据库!$G$10:$AG84,0,MATCH($B$3,配置数据库!$G$8:$AG$8,0))&lt;&gt;"")),"")</f>
        <v/>
      </c>
      <c r="Q52">
        <f>IF(AND(配置数据库!$C84="默认配置",INDEX(配置数据库!$G84:$AG84,1,MATCH($B$3,配置数据库!$G$8:$AG$8,0))&lt;&gt;""),SUMPRODUCT((配置数据库!$C$10:$C84="默认配置")*(INDEX(配置数据库!$G$10:$AG84,0,MATCH($B$3,配置数据库!$G$8:$AG$8,0))&lt;&gt;"")),"")</f>
        <v>18</v>
      </c>
    </row>
    <row r="53" ht="28" customHeight="1" spans="1:17">
      <c r="A53" s="17" t="str">
        <f>IFERROR(INDEX(配置数据库!$A:$A,MATCH(11,$Q:$Q,0)),"")</f>
        <v>叉取方向中间立柱宽-W2(mm)</v>
      </c>
      <c r="B53" s="21">
        <f>IF($A53="","",IFERROR(LEFT(SUBSTITUTE(IFERROR(INDEX(配置数据库!$G:$AG,MATCH(11,$Q:$Q,0),MATCH($B$3,配置数据库!$G$8:$AG$8,0)),""),";","；"),FIND("；",SUBSTITUTE(IFERROR(INDEX(配置数据库!$G:$AG,MATCH(11,$Q:$Q,0),MATCH($B$3,配置数据库!$G$8:$AG$8,0)),""),";","；"))-1),IFERROR(INDEX(配置数据库!$G:$AG,MATCH(11,$Q:$Q,0),MATCH($B$3,配置数据库!$G$8:$AG$8,0)),"")))</f>
        <v>0</v>
      </c>
      <c r="C53" s="17" t="str">
        <f t="shared" si="11"/>
        <v>自动带出</v>
      </c>
      <c r="D53" s="17">
        <f>IF($A53="","",IFERROR(INDEX(配置数据库!$B:$B,MATCH(11,$Q:$Q,0)),""))</f>
        <v>0</v>
      </c>
      <c r="E53">
        <f>IF($A53="","",IFERROR(INDEX(配置数据库!$G:$AG,MATCH($A53,配置数据库!$A:$A,0),MATCH($B$3,配置数据库!$G$8:$AG$8,0)),""))</f>
        <v>0</v>
      </c>
      <c r="F53" t="str">
        <f t="shared" si="12"/>
        <v/>
      </c>
      <c r="G53" t="str">
        <f t="shared" si="13"/>
        <v/>
      </c>
      <c r="H53" t="str">
        <f t="shared" si="14"/>
        <v/>
      </c>
      <c r="I53" t="str">
        <f t="shared" si="15"/>
        <v/>
      </c>
      <c r="J53" t="str">
        <f t="shared" si="16"/>
        <v/>
      </c>
      <c r="K53" t="str">
        <f t="shared" si="17"/>
        <v/>
      </c>
      <c r="L53" t="str">
        <f t="shared" si="18"/>
        <v/>
      </c>
      <c r="M53" t="str">
        <f t="shared" si="19"/>
        <v/>
      </c>
      <c r="N53" t="str">
        <f t="shared" si="20"/>
        <v/>
      </c>
      <c r="O53" t="str">
        <f t="shared" si="21"/>
        <v/>
      </c>
      <c r="P53" t="str">
        <f>IF(AND(配置数据库!$C85="售前填写",INDEX(配置数据库!$G85:$AG85,1,MATCH($B$3,配置数据库!$G$8:$AG$8,0))&lt;&gt;""),SUMPRODUCT((配置数据库!$C$10:$C85="售前填写")*(INDEX(配置数据库!$G$10:$AG85,0,MATCH($B$3,配置数据库!$G$8:$AG$8,0))&lt;&gt;"")),"")</f>
        <v/>
      </c>
      <c r="Q53">
        <f>IF(AND(配置数据库!$C85="默认配置",INDEX(配置数据库!$G85:$AG85,1,MATCH($B$3,配置数据库!$G$8:$AG$8,0))&lt;&gt;""),SUMPRODUCT((配置数据库!$C$10:$C85="默认配置")*(INDEX(配置数据库!$G$10:$AG85,0,MATCH($B$3,配置数据库!$G$8:$AG$8,0))&lt;&gt;"")),"")</f>
        <v>19</v>
      </c>
    </row>
    <row r="54" ht="28" customHeight="1" spans="1:17">
      <c r="A54" s="17" t="str">
        <f>IFERROR(INDEX(配置数据库!$A:$A,MATCH(12,$Q:$Q,0)),"")</f>
        <v>F 托盘下横梁高度</v>
      </c>
      <c r="B54" s="21" t="str">
        <f>IF($A54="","",IFERROR(LEFT(SUBSTITUTE(IFERROR(INDEX(配置数据库!$G:$AG,MATCH(12,$Q:$Q,0),MATCH($B$3,配置数据库!$G$8:$AG$8,0)),""),";","；"),FIND("；",SUBSTITUTE(IFERROR(INDEX(配置数据库!$G:$AG,MATCH(12,$Q:$Q,0),MATCH($B$3,配置数据库!$G$8:$AG$8,0)),""),";","；"))-1),IFERROR(INDEX(配置数据库!$G:$AG,MATCH(12,$Q:$Q,0),MATCH($B$3,配置数据库!$G$8:$AG$8,0)),"")))</f>
        <v/>
      </c>
      <c r="C54" s="17" t="str">
        <f t="shared" si="11"/>
        <v>自动带出</v>
      </c>
      <c r="D54" s="17" t="str">
        <f>IF($A54="","",IFERROR(INDEX(配置数据库!$B:$B,MATCH(12,$Q:$Q,0)),""))</f>
        <v>=DISPIMG("ID_24AC769FE6B3490B9FC8DE83FECC29C9",1)</v>
      </c>
      <c r="E54" t="str">
        <f>IF($A54="","",IFERROR(INDEX(配置数据库!$G:$AG,MATCH($A54,配置数据库!$A:$A,0),MATCH($B$3,配置数据库!$G$8:$AG$8,0)),""))</f>
        <v/>
      </c>
      <c r="F54" t="str">
        <f t="shared" si="12"/>
        <v/>
      </c>
      <c r="G54" t="str">
        <f t="shared" si="13"/>
        <v/>
      </c>
      <c r="H54" t="str">
        <f t="shared" si="14"/>
        <v/>
      </c>
      <c r="I54" t="str">
        <f t="shared" si="15"/>
        <v/>
      </c>
      <c r="J54" t="str">
        <f t="shared" si="16"/>
        <v/>
      </c>
      <c r="K54" t="str">
        <f t="shared" si="17"/>
        <v/>
      </c>
      <c r="L54" t="str">
        <f t="shared" si="18"/>
        <v/>
      </c>
      <c r="M54" t="str">
        <f t="shared" si="19"/>
        <v/>
      </c>
      <c r="N54" t="str">
        <f t="shared" si="20"/>
        <v/>
      </c>
      <c r="O54" t="str">
        <f t="shared" si="21"/>
        <v/>
      </c>
      <c r="P54" t="e">
        <f>IF(AND(配置数据库!#REF!="售前填写",INDEX(配置数据库!#REF!,1,MATCH($B$3,配置数据库!$G$8:$AG$8,0))&lt;&gt;""),SUMPRODUCT((配置数据库!$C$10:$C85="售前填写")*(INDEX(配置数据库!$G$10:$AG85,0,MATCH($B$3,配置数据库!$G$8:$AG$8,0))&lt;&gt;"")),"")</f>
        <v>#REF!</v>
      </c>
      <c r="Q54" t="e">
        <f>IF(AND(配置数据库!#REF!="默认配置",INDEX(配置数据库!#REF!,1,MATCH($B$3,配置数据库!$G$8:$AG$8,0))&lt;&gt;""),SUMPRODUCT((配置数据库!$C$10:$C85="默认配置")*(INDEX(配置数据库!$G$10:$AG85,0,MATCH($B$3,配置数据库!$G$8:$AG$8,0))&lt;&gt;"")),"")</f>
        <v>#REF!</v>
      </c>
    </row>
    <row r="55" ht="28" customHeight="1" spans="1:17">
      <c r="A55" s="17" t="str">
        <f>IFERROR(INDEX(配置数据库!$A:$A,MATCH(13,$Q:$Q,0)),"")</f>
        <v/>
      </c>
      <c r="B55" s="21" t="str">
        <f>IF($A55="","",IFERROR(LEFT(SUBSTITUTE(IFERROR(INDEX(配置数据库!$G:$AG,MATCH(13,$Q:$Q,0),MATCH($B$3,配置数据库!$G$8:$AG$8,0)),""),";","；"),FIND("；",SUBSTITUTE(IFERROR(INDEX(配置数据库!$G:$AG,MATCH(13,$Q:$Q,0),MATCH($B$3,配置数据库!$G$8:$AG$8,0)),""),";","；"))-1),IFERROR(INDEX(配置数据库!$G:$AG,MATCH(13,$Q:$Q,0),MATCH($B$3,配置数据库!$G$8:$AG$8,0)),"")))</f>
        <v/>
      </c>
      <c r="C55" s="17" t="str">
        <f t="shared" si="11"/>
        <v/>
      </c>
      <c r="D55" s="17" t="str">
        <f>IF($A55="","",IFERROR(INDEX(配置数据库!$B:$B,MATCH(13,$Q:$Q,0)),""))</f>
        <v/>
      </c>
      <c r="E55" t="str">
        <f>IF($A55="","",IFERROR(INDEX(配置数据库!$G:$AG,MATCH($A55,配置数据库!$A:$A,0),MATCH($B$3,配置数据库!$G$8:$AG$8,0)),""))</f>
        <v/>
      </c>
      <c r="F55" t="str">
        <f t="shared" si="12"/>
        <v/>
      </c>
      <c r="G55" t="str">
        <f t="shared" si="13"/>
        <v/>
      </c>
      <c r="H55" t="str">
        <f t="shared" si="14"/>
        <v/>
      </c>
      <c r="I55" t="str">
        <f t="shared" si="15"/>
        <v/>
      </c>
      <c r="J55" t="str">
        <f t="shared" si="16"/>
        <v/>
      </c>
      <c r="K55" t="str">
        <f t="shared" si="17"/>
        <v/>
      </c>
      <c r="L55" t="str">
        <f t="shared" si="18"/>
        <v/>
      </c>
      <c r="M55" t="str">
        <f t="shared" si="19"/>
        <v/>
      </c>
      <c r="N55" t="str">
        <f t="shared" si="20"/>
        <v/>
      </c>
      <c r="O55" t="str">
        <f t="shared" si="21"/>
        <v/>
      </c>
      <c r="P55" t="str">
        <f>IF(AND(配置数据库!$C86="售前填写",INDEX(配置数据库!$G86:$AG86,1,MATCH($B$3,配置数据库!$G$8:$AG$8,0))&lt;&gt;""),SUMPRODUCT((配置数据库!$C$10:$C86="售前填写")*(INDEX(配置数据库!$G$10:$AG86,0,MATCH($B$3,配置数据库!$G$8:$AG$8,0))&lt;&gt;"")),"")</f>
        <v/>
      </c>
      <c r="Q55">
        <f>IF(AND(配置数据库!$C86="默认配置",INDEX(配置数据库!$G86:$AG86,1,MATCH($B$3,配置数据库!$G$8:$AG$8,0))&lt;&gt;""),SUMPRODUCT((配置数据库!$C$10:$C86="默认配置")*(INDEX(配置数据库!$G$10:$AG86,0,MATCH($B$3,配置数据库!$G$8:$AG$8,0))&lt;&gt;"")),"")</f>
        <v>20</v>
      </c>
    </row>
    <row r="56" ht="28" customHeight="1" spans="1:17">
      <c r="A56" s="17" t="str">
        <f>IFERROR(INDEX(配置数据库!$A:$A,MATCH(14,$Q:$Q,0)),"")</f>
        <v>N GMA托盘避让孔后沿距边缘</v>
      </c>
      <c r="B56" s="21">
        <f>IF($A56="","",IFERROR(LEFT(SUBSTITUTE(IFERROR(INDEX(配置数据库!$G:$AG,MATCH(14,$Q:$Q,0),MATCH($B$3,配置数据库!$G$8:$AG$8,0)),""),";","；"),FIND("；",SUBSTITUTE(IFERROR(INDEX(配置数据库!$G:$AG,MATCH(14,$Q:$Q,0),MATCH($B$3,配置数据库!$G$8:$AG$8,0)),""),";","；"))-1),IFERROR(INDEX(配置数据库!$G:$AG,MATCH(14,$Q:$Q,0),MATCH($B$3,配置数据库!$G$8:$AG$8,0)),"")))</f>
        <v>0</v>
      </c>
      <c r="C56" s="17" t="str">
        <f t="shared" si="11"/>
        <v>自动带出</v>
      </c>
      <c r="D56" s="17" t="str">
        <f>IF($A56="","",IFERROR(INDEX(配置数据库!$B:$B,MATCH(14,$Q:$Q,0)),""))</f>
        <v>=DISPIMG("ID_8AC8D239D6D744E489CA5FA086DB109B",1)</v>
      </c>
      <c r="E56">
        <f>IF($A56="","",IFERROR(INDEX(配置数据库!$G:$AG,MATCH($A56,配置数据库!$A:$A,0),MATCH($B$3,配置数据库!$G$8:$AG$8,0)),""))</f>
        <v>0</v>
      </c>
      <c r="F56" t="str">
        <f t="shared" si="12"/>
        <v/>
      </c>
      <c r="G56" t="str">
        <f t="shared" si="13"/>
        <v/>
      </c>
      <c r="H56" t="str">
        <f t="shared" si="14"/>
        <v/>
      </c>
      <c r="I56" t="str">
        <f t="shared" si="15"/>
        <v/>
      </c>
      <c r="J56" t="str">
        <f t="shared" si="16"/>
        <v/>
      </c>
      <c r="K56" t="str">
        <f t="shared" si="17"/>
        <v/>
      </c>
      <c r="L56" t="str">
        <f t="shared" si="18"/>
        <v/>
      </c>
      <c r="M56" t="str">
        <f t="shared" si="19"/>
        <v/>
      </c>
      <c r="N56" t="str">
        <f t="shared" si="20"/>
        <v/>
      </c>
      <c r="O56" t="str">
        <f t="shared" si="21"/>
        <v/>
      </c>
      <c r="P56" t="str">
        <f>IF(AND(配置数据库!$C87="售前填写",INDEX(配置数据库!$G87:$AG87,1,MATCH($B$3,配置数据库!$G$8:$AG$8,0))&lt;&gt;""),SUMPRODUCT((配置数据库!$C$10:$C87="售前填写")*(INDEX(配置数据库!$G$10:$AG87,0,MATCH($B$3,配置数据库!$G$8:$AG$8,0))&lt;&gt;"")),"")</f>
        <v/>
      </c>
      <c r="Q56">
        <f>IF(AND(配置数据库!$C87="默认配置",INDEX(配置数据库!$G87:$AG87,1,MATCH($B$3,配置数据库!$G$8:$AG$8,0))&lt;&gt;""),SUMPRODUCT((配置数据库!$C$10:$C87="默认配置")*(INDEX(配置数据库!$G$10:$AG87,0,MATCH($B$3,配置数据库!$G$8:$AG$8,0))&lt;&gt;"")),"")</f>
        <v>21</v>
      </c>
    </row>
    <row r="57" ht="28" customHeight="1" spans="1:17">
      <c r="A57" s="17" t="str">
        <f>IFERROR(INDEX(配置数据库!$A:$A,MATCH(15,$Q:$Q,0)),"")</f>
        <v>O GMA托盘避让孔前沿距边缘</v>
      </c>
      <c r="B57" s="21">
        <f>IF($A57="","",IFERROR(LEFT(SUBSTITUTE(IFERROR(INDEX(配置数据库!$G:$AG,MATCH(15,$Q:$Q,0),MATCH($B$3,配置数据库!$G$8:$AG$8,0)),""),";","；"),FIND("；",SUBSTITUTE(IFERROR(INDEX(配置数据库!$G:$AG,MATCH(15,$Q:$Q,0),MATCH($B$3,配置数据库!$G$8:$AG$8,0)),""),";","；"))-1),IFERROR(INDEX(配置数据库!$G:$AG,MATCH(15,$Q:$Q,0),MATCH($B$3,配置数据库!$G$8:$AG$8,0)),"")))</f>
        <v>0</v>
      </c>
      <c r="C57" s="17" t="str">
        <f t="shared" si="11"/>
        <v>自动带出</v>
      </c>
      <c r="D57" s="17">
        <f>IF($A57="","",IFERROR(INDEX(配置数据库!$B:$B,MATCH(15,$Q:$Q,0)),""))</f>
        <v>0</v>
      </c>
      <c r="E57">
        <f>IF($A57="","",IFERROR(INDEX(配置数据库!$G:$AG,MATCH($A57,配置数据库!$A:$A,0),MATCH($B$3,配置数据库!$G$8:$AG$8,0)),""))</f>
        <v>0</v>
      </c>
      <c r="F57" t="str">
        <f t="shared" si="12"/>
        <v/>
      </c>
      <c r="G57" t="str">
        <f t="shared" si="13"/>
        <v/>
      </c>
      <c r="H57" t="str">
        <f t="shared" si="14"/>
        <v/>
      </c>
      <c r="I57" t="str">
        <f t="shared" si="15"/>
        <v/>
      </c>
      <c r="J57" t="str">
        <f t="shared" si="16"/>
        <v/>
      </c>
      <c r="K57" t="str">
        <f t="shared" si="17"/>
        <v/>
      </c>
      <c r="L57" t="str">
        <f t="shared" si="18"/>
        <v/>
      </c>
      <c r="M57" t="str">
        <f t="shared" si="19"/>
        <v/>
      </c>
      <c r="N57" t="str">
        <f t="shared" si="20"/>
        <v/>
      </c>
      <c r="O57" t="str">
        <f t="shared" si="21"/>
        <v/>
      </c>
      <c r="P57" t="str">
        <f>IF(AND(配置数据库!$C88="售前填写",INDEX(配置数据库!$G88:$AG88,1,MATCH($B$3,配置数据库!$G$8:$AG$8,0))&lt;&gt;""),SUMPRODUCT((配置数据库!$C$10:$C88="售前填写")*(INDEX(配置数据库!$G$10:$AG88,0,MATCH($B$3,配置数据库!$G$8:$AG$8,0))&lt;&gt;"")),"")</f>
        <v/>
      </c>
      <c r="Q57">
        <f>IF(AND(配置数据库!$C88="默认配置",INDEX(配置数据库!$G88:$AG88,1,MATCH($B$3,配置数据库!$G$8:$AG$8,0))&lt;&gt;""),SUMPRODUCT((配置数据库!$C$10:$C88="默认配置")*(INDEX(配置数据库!$G$10:$AG88,0,MATCH($B$3,配置数据库!$G$8:$AG$8,0))&lt;&gt;"")),"")</f>
        <v>22</v>
      </c>
    </row>
    <row r="58" ht="28" customHeight="1" spans="1:17">
      <c r="A58" s="17" t="str">
        <f>IFERROR(INDEX(配置数据库!$A:$A,MATCH(16,$Q:$Q,0)),"")</f>
        <v>料架</v>
      </c>
      <c r="B58" s="21">
        <f>IF($A58="","",IFERROR(LEFT(SUBSTITUTE(IFERROR(INDEX(配置数据库!$G:$AG,MATCH(16,$Q:$Q,0),MATCH($B$3,配置数据库!$G$8:$AG$8,0)),""),";","；"),FIND("；",SUBSTITUTE(IFERROR(INDEX(配置数据库!$G:$AG,MATCH(16,$Q:$Q,0),MATCH($B$3,配置数据库!$G$8:$AG$8,0)),""),";","；"))-1),IFERROR(INDEX(配置数据库!$G:$AG,MATCH(16,$Q:$Q,0),MATCH($B$3,配置数据库!$G$8:$AG$8,0)),"")))</f>
        <v>0</v>
      </c>
      <c r="C58" s="17" t="str">
        <f t="shared" si="11"/>
        <v>自动带出</v>
      </c>
      <c r="D58" s="17" t="str">
        <f>IF($A58="","",IFERROR(INDEX(配置数据库!$B:$B,MATCH(16,$Q:$Q,0)),""))</f>
        <v>配图</v>
      </c>
      <c r="E58">
        <f>IF($A58="","",IFERROR(INDEX(配置数据库!$G:$AG,MATCH($A58,配置数据库!$A:$A,0),MATCH($B$3,配置数据库!$G$8:$AG$8,0)),""))</f>
        <v>0</v>
      </c>
      <c r="F58" t="str">
        <f t="shared" si="12"/>
        <v/>
      </c>
      <c r="G58" t="str">
        <f t="shared" si="13"/>
        <v/>
      </c>
      <c r="H58" t="str">
        <f t="shared" si="14"/>
        <v/>
      </c>
      <c r="I58" t="str">
        <f t="shared" si="15"/>
        <v/>
      </c>
      <c r="J58" t="str">
        <f t="shared" si="16"/>
        <v/>
      </c>
      <c r="K58" t="str">
        <f t="shared" si="17"/>
        <v/>
      </c>
      <c r="L58" t="str">
        <f t="shared" si="18"/>
        <v/>
      </c>
      <c r="M58" t="str">
        <f t="shared" si="19"/>
        <v/>
      </c>
      <c r="N58" t="str">
        <f t="shared" si="20"/>
        <v/>
      </c>
      <c r="O58" t="str">
        <f t="shared" si="21"/>
        <v/>
      </c>
      <c r="P58" t="str">
        <f>IF(AND(配置数据库!$C89="售前填写",INDEX(配置数据库!$G89:$AG89,1,MATCH($B$3,配置数据库!$G$8:$AG$8,0))&lt;&gt;""),SUMPRODUCT((配置数据库!$C$10:$C89="售前填写")*(INDEX(配置数据库!$G$10:$AG89,0,MATCH($B$3,配置数据库!$G$8:$AG$8,0))&lt;&gt;"")),"")</f>
        <v/>
      </c>
      <c r="Q58">
        <f>IF(AND(配置数据库!$C89="默认配置",INDEX(配置数据库!$G89:$AG89,1,MATCH($B$3,配置数据库!$G$8:$AG$8,0))&lt;&gt;""),SUMPRODUCT((配置数据库!$C$10:$C89="默认配置")*(INDEX(配置数据库!$G$10:$AG89,0,MATCH($B$3,配置数据库!$G$8:$AG$8,0))&lt;&gt;"")),"")</f>
        <v>23</v>
      </c>
    </row>
    <row r="59" ht="28" customHeight="1" spans="1:17">
      <c r="A59" s="17" t="str">
        <f>IFERROR(INDEX(配置数据库!$A:$A,MATCH(17,$Q:$Q,0)),"")</f>
        <v>料架类型</v>
      </c>
      <c r="B59" s="21" t="str">
        <f>IF($A59="","",IFERROR(LEFT(SUBSTITUTE(IFERROR(INDEX(配置数据库!$G:$AG,MATCH(17,$Q:$Q,0),MATCH($B$3,配置数据库!$G$8:$AG$8,0)),""),";","；"),FIND("；",SUBSTITUTE(IFERROR(INDEX(配置数据库!$G:$AG,MATCH(17,$Q:$Q,0),MATCH($B$3,配置数据库!$G$8:$AG$8,0)),""),";","；"))-1),IFERROR(INDEX(配置数据库!$G:$AG,MATCH(17,$Q:$Q,0),MATCH($B$3,配置数据库!$G$8:$AG$8,0)),"")))</f>
        <v>叉车料架</v>
      </c>
      <c r="C59" s="17" t="str">
        <f t="shared" si="11"/>
        <v>自动带出</v>
      </c>
      <c r="D59" s="17">
        <f>IF($A59="","",IFERROR(INDEX(配置数据库!$B:$B,MATCH(17,$Q:$Q,0)),""))</f>
        <v>0</v>
      </c>
      <c r="E59" t="str">
        <f>IF($A59="","",IFERROR(INDEX(配置数据库!$G:$AG,MATCH($A59,配置数据库!$A:$A,0),MATCH($B$3,配置数据库!$G$8:$AG$8,0)),""))</f>
        <v>叉车料架；背负料架；牵引料架</v>
      </c>
      <c r="F59" t="str">
        <f t="shared" si="12"/>
        <v>叉车料架</v>
      </c>
      <c r="G59" t="str">
        <f t="shared" si="13"/>
        <v>背负料架</v>
      </c>
      <c r="H59" t="str">
        <f t="shared" si="14"/>
        <v>牵引料架</v>
      </c>
      <c r="I59" t="str">
        <f t="shared" si="15"/>
        <v/>
      </c>
      <c r="J59" t="str">
        <f t="shared" si="16"/>
        <v/>
      </c>
      <c r="K59" t="str">
        <f t="shared" si="17"/>
        <v/>
      </c>
      <c r="L59" t="str">
        <f t="shared" si="18"/>
        <v/>
      </c>
      <c r="M59" t="str">
        <f t="shared" si="19"/>
        <v/>
      </c>
      <c r="N59" t="str">
        <f t="shared" si="20"/>
        <v/>
      </c>
      <c r="O59" t="str">
        <f t="shared" si="21"/>
        <v/>
      </c>
      <c r="P59" t="str">
        <f>IF(AND(配置数据库!$C91="售前填写",INDEX(配置数据库!$G91:$AG91,1,MATCH($B$3,配置数据库!$G$8:$AG$8,0))&lt;&gt;""),SUMPRODUCT((配置数据库!$C$10:$C91="售前填写")*(INDEX(配置数据库!$G$10:$AG91,0,MATCH($B$3,配置数据库!$G$8:$AG$8,0))&lt;&gt;"")),"")</f>
        <v/>
      </c>
      <c r="Q59">
        <f>IF(AND(配置数据库!$C91="默认配置",INDEX(配置数据库!$G91:$AG91,1,MATCH($B$3,配置数据库!$G$8:$AG$8,0))&lt;&gt;""),SUMPRODUCT((配置数据库!$C$10:$C91="默认配置")*(INDEX(配置数据库!$G$10:$AG91,0,MATCH($B$3,配置数据库!$G$8:$AG$8,0))&lt;&gt;"")),"")</f>
        <v>24</v>
      </c>
    </row>
    <row r="60" ht="28" customHeight="1" spans="1:17">
      <c r="A60" s="17" t="str">
        <f>IFERROR(INDEX(配置数据库!$A:$A,MATCH(18,$Q:$Q,0)),"")</f>
        <v>设备图片</v>
      </c>
      <c r="B60" s="21" t="str">
        <f>IF($A60="","",IFERROR(LEFT(SUBSTITUTE(IFERROR(INDEX(配置数据库!$G:$AG,MATCH(18,$Q:$Q,0),MATCH($B$3,配置数据库!$G$8:$AG$8,0)),""),";","；"),FIND("；",SUBSTITUTE(IFERROR(INDEX(配置数据库!$G:$AG,MATCH(18,$Q:$Q,0),MATCH($B$3,配置数据库!$G$8:$AG$8,0)),""),";","；"))-1),IFERROR(INDEX(配置数据库!$G:$AG,MATCH(18,$Q:$Q,0),MATCH($B$3,配置数据库!$G$8:$AG$8,0)),"")))</f>
        <v>请附图片</v>
      </c>
      <c r="C60" s="17" t="str">
        <f t="shared" si="11"/>
        <v>自动带出</v>
      </c>
      <c r="D60" s="17">
        <f>IF($A60="","",IFERROR(INDEX(配置数据库!$B:$B,MATCH(18,$Q:$Q,0)),""))</f>
        <v>0</v>
      </c>
      <c r="E60" t="str">
        <f>IF($A60="","",IFERROR(INDEX(配置数据库!$G:$AG,MATCH($A60,配置数据库!$A:$A,0),MATCH($B$3,配置数据库!$G$8:$AG$8,0)),""))</f>
        <v>请附图片</v>
      </c>
      <c r="F60" t="str">
        <f t="shared" si="12"/>
        <v/>
      </c>
      <c r="G60" t="str">
        <f t="shared" si="13"/>
        <v/>
      </c>
      <c r="H60" t="str">
        <f t="shared" si="14"/>
        <v/>
      </c>
      <c r="I60" t="str">
        <f t="shared" si="15"/>
        <v/>
      </c>
      <c r="J60" t="str">
        <f t="shared" si="16"/>
        <v/>
      </c>
      <c r="K60" t="str">
        <f t="shared" si="17"/>
        <v/>
      </c>
      <c r="L60" t="str">
        <f t="shared" si="18"/>
        <v/>
      </c>
      <c r="M60" t="str">
        <f t="shared" si="19"/>
        <v/>
      </c>
      <c r="N60" t="str">
        <f t="shared" si="20"/>
        <v/>
      </c>
      <c r="O60" t="str">
        <f t="shared" si="21"/>
        <v/>
      </c>
      <c r="P60" t="str">
        <f>IF(AND(配置数据库!$C92="售前填写",INDEX(配置数据库!$G92:$AG92,1,MATCH($B$3,配置数据库!$G$8:$AG$8,0))&lt;&gt;""),SUMPRODUCT((配置数据库!$C$10:$C92="售前填写")*(INDEX(配置数据库!$G$10:$AG92,0,MATCH($B$3,配置数据库!$G$8:$AG$8,0))&lt;&gt;"")),"")</f>
        <v/>
      </c>
      <c r="Q60">
        <f>IF(AND(配置数据库!$C92="默认配置",INDEX(配置数据库!$G92:$AG92,1,MATCH($B$3,配置数据库!$G$8:$AG$8,0))&lt;&gt;""),SUMPRODUCT((配置数据库!$C$10:$C92="默认配置")*(INDEX(配置数据库!$G$10:$AG92,0,MATCH($B$3,配置数据库!$G$8:$AG$8,0))&lt;&gt;"")),"")</f>
        <v>25</v>
      </c>
    </row>
    <row r="61" ht="28" customHeight="1" spans="1:17">
      <c r="A61" s="17" t="str">
        <f>IFERROR(INDEX(配置数据库!$A:$A,MATCH(19,$Q:$Q,0)),"")</f>
        <v>驶入方向边长-W(mm)</v>
      </c>
      <c r="B61" s="21">
        <f>IF($A61="","",IFERROR(LEFT(SUBSTITUTE(IFERROR(INDEX(配置数据库!$G:$AG,MATCH(19,$Q:$Q,0),MATCH($B$3,配置数据库!$G$8:$AG$8,0)),""),";","；"),FIND("；",SUBSTITUTE(IFERROR(INDEX(配置数据库!$G:$AG,MATCH(19,$Q:$Q,0),MATCH($B$3,配置数据库!$G$8:$AG$8,0)),""),";","；"))-1),IFERROR(INDEX(配置数据库!$G:$AG,MATCH(19,$Q:$Q,0),MATCH($B$3,配置数据库!$G$8:$AG$8,0)),"")))</f>
        <v>0</v>
      </c>
      <c r="C61" s="17" t="str">
        <f t="shared" si="11"/>
        <v>自动带出</v>
      </c>
      <c r="D61" s="17" t="str">
        <f>IF($A61="","",IFERROR(INDEX(配置数据库!$B:$B,MATCH(19,$Q:$Q,0)),""))</f>
        <v>=DISPIMG("ID_4BA5DE40EF5F4EC2A84356925BE7A6DA",1)</v>
      </c>
      <c r="E61">
        <f>IF($A61="","",IFERROR(INDEX(配置数据库!$G:$AG,MATCH($A61,配置数据库!$A:$A,0),MATCH($B$3,配置数据库!$G$8:$AG$8,0)),""))</f>
        <v>0</v>
      </c>
      <c r="F61" t="str">
        <f t="shared" si="12"/>
        <v/>
      </c>
      <c r="G61" t="str">
        <f t="shared" si="13"/>
        <v/>
      </c>
      <c r="H61" t="str">
        <f t="shared" si="14"/>
        <v/>
      </c>
      <c r="I61" t="str">
        <f t="shared" si="15"/>
        <v/>
      </c>
      <c r="J61" t="str">
        <f t="shared" si="16"/>
        <v/>
      </c>
      <c r="K61" t="str">
        <f t="shared" si="17"/>
        <v/>
      </c>
      <c r="L61" t="str">
        <f t="shared" si="18"/>
        <v/>
      </c>
      <c r="M61" t="str">
        <f t="shared" si="19"/>
        <v/>
      </c>
      <c r="N61" t="str">
        <f t="shared" si="20"/>
        <v/>
      </c>
      <c r="O61" t="str">
        <f t="shared" si="21"/>
        <v/>
      </c>
      <c r="P61" t="str">
        <f>IF(AND(配置数据库!$C93="售前填写",INDEX(配置数据库!$G93:$AG93,1,MATCH($B$3,配置数据库!$G$8:$AG$8,0))&lt;&gt;""),SUMPRODUCT((配置数据库!$C$10:$C93="售前填写")*(INDEX(配置数据库!$G$10:$AG93,0,MATCH($B$3,配置数据库!$G$8:$AG$8,0))&lt;&gt;"")),"")</f>
        <v/>
      </c>
      <c r="Q61">
        <f>IF(AND(配置数据库!$C93="默认配置",INDEX(配置数据库!$G93:$AG93,1,MATCH($B$3,配置数据库!$G$8:$AG$8,0))&lt;&gt;""),SUMPRODUCT((配置数据库!$C$10:$C93="默认配置")*(INDEX(配置数据库!$G$10:$AG93,0,MATCH($B$3,配置数据库!$G$8:$AG$8,0))&lt;&gt;"")),"")</f>
        <v>26</v>
      </c>
    </row>
    <row r="62" ht="28" customHeight="1" spans="1:17">
      <c r="A62" s="17" t="str">
        <f>IFERROR(INDEX(配置数据库!$A:$A,MATCH(20,$Q:$Q,0)),"")</f>
        <v>驶入方向支腿边长-W1(mm)</v>
      </c>
      <c r="B62" s="21">
        <f>IF($A62="","",IFERROR(LEFT(SUBSTITUTE(IFERROR(INDEX(配置数据库!$G:$AG,MATCH(20,$Q:$Q,0),MATCH($B$3,配置数据库!$G$8:$AG$8,0)),""),";","；"),FIND("；",SUBSTITUTE(IFERROR(INDEX(配置数据库!$G:$AG,MATCH(20,$Q:$Q,0),MATCH($B$3,配置数据库!$G$8:$AG$8,0)),""),";","；"))-1),IFERROR(INDEX(配置数据库!$G:$AG,MATCH(20,$Q:$Q,0),MATCH($B$3,配置数据库!$G$8:$AG$8,0)),"")))</f>
        <v>0</v>
      </c>
      <c r="C62" s="17" t="str">
        <f t="shared" si="11"/>
        <v>自动带出</v>
      </c>
      <c r="D62" s="17">
        <f>IF($A62="","",IFERROR(INDEX(配置数据库!$B:$B,MATCH(20,$Q:$Q,0)),""))</f>
        <v>0</v>
      </c>
      <c r="E62">
        <f>IF($A62="","",IFERROR(INDEX(配置数据库!$G:$AG,MATCH($A62,配置数据库!$A:$A,0),MATCH($B$3,配置数据库!$G$8:$AG$8,0)),""))</f>
        <v>0</v>
      </c>
      <c r="F62" t="str">
        <f t="shared" si="12"/>
        <v/>
      </c>
      <c r="G62" t="str">
        <f t="shared" si="13"/>
        <v/>
      </c>
      <c r="H62" t="str">
        <f t="shared" si="14"/>
        <v/>
      </c>
      <c r="I62" t="str">
        <f t="shared" si="15"/>
        <v/>
      </c>
      <c r="J62" t="str">
        <f t="shared" si="16"/>
        <v/>
      </c>
      <c r="K62" t="str">
        <f t="shared" si="17"/>
        <v/>
      </c>
      <c r="L62" t="str">
        <f t="shared" si="18"/>
        <v/>
      </c>
      <c r="M62" t="str">
        <f t="shared" si="19"/>
        <v/>
      </c>
      <c r="N62" t="str">
        <f t="shared" si="20"/>
        <v/>
      </c>
      <c r="O62" t="str">
        <f t="shared" si="21"/>
        <v/>
      </c>
      <c r="P62" t="str">
        <f>IF(AND(配置数据库!$C94="售前填写",INDEX(配置数据库!$G94:$AG94,1,MATCH($B$3,配置数据库!$G$8:$AG$8,0))&lt;&gt;""),SUMPRODUCT((配置数据库!$C$10:$C94="售前填写")*(INDEX(配置数据库!$G$10:$AG94,0,MATCH($B$3,配置数据库!$G$8:$AG$8,0))&lt;&gt;"")),"")</f>
        <v/>
      </c>
      <c r="Q62">
        <f>IF(AND(配置数据库!$C94="默认配置",INDEX(配置数据库!$G94:$AG94,1,MATCH($B$3,配置数据库!$G$8:$AG$8,0))&lt;&gt;""),SUMPRODUCT((配置数据库!$C$10:$C94="默认配置")*(INDEX(配置数据库!$G$10:$AG94,0,MATCH($B$3,配置数据库!$G$8:$AG$8,0))&lt;&gt;"")),"")</f>
        <v>27</v>
      </c>
    </row>
    <row r="63" ht="28" customHeight="1" spans="1:17">
      <c r="A63" s="17" t="str">
        <f>IFERROR(INDEX(配置数据库!$A:$A,MATCH(21,$Q:$Q,0)),"")</f>
        <v>离地高度-H2(mm)</v>
      </c>
      <c r="B63" s="21">
        <f>IF($A63="","",IFERROR(LEFT(SUBSTITUTE(IFERROR(INDEX(配置数据库!$G:$AG,MATCH(21,$Q:$Q,0),MATCH($B$3,配置数据库!$G$8:$AG$8,0)),""),";","；"),FIND("；",SUBSTITUTE(IFERROR(INDEX(配置数据库!$G:$AG,MATCH(21,$Q:$Q,0),MATCH($B$3,配置数据库!$G$8:$AG$8,0)),""),";","；"))-1),IFERROR(INDEX(配置数据库!$G:$AG,MATCH(21,$Q:$Q,0),MATCH($B$3,配置数据库!$G$8:$AG$8,0)),"")))</f>
        <v>0</v>
      </c>
      <c r="C63" s="17" t="str">
        <f t="shared" si="11"/>
        <v>自动带出</v>
      </c>
      <c r="D63" s="17">
        <f>IF($A63="","",IFERROR(INDEX(配置数据库!$B:$B,MATCH(21,$Q:$Q,0)),""))</f>
        <v>0</v>
      </c>
      <c r="E63">
        <f>IF($A63="","",IFERROR(INDEX(配置数据库!$G:$AG,MATCH($A63,配置数据库!$A:$A,0),MATCH($B$3,配置数据库!$G$8:$AG$8,0)),""))</f>
        <v>0</v>
      </c>
      <c r="F63" t="str">
        <f t="shared" si="12"/>
        <v/>
      </c>
      <c r="G63" t="str">
        <f t="shared" si="13"/>
        <v/>
      </c>
      <c r="H63" t="str">
        <f t="shared" si="14"/>
        <v/>
      </c>
      <c r="I63" t="str">
        <f t="shared" si="15"/>
        <v/>
      </c>
      <c r="J63" t="str">
        <f t="shared" si="16"/>
        <v/>
      </c>
      <c r="K63" t="str">
        <f t="shared" si="17"/>
        <v/>
      </c>
      <c r="L63" t="str">
        <f t="shared" si="18"/>
        <v/>
      </c>
      <c r="M63" t="str">
        <f t="shared" si="19"/>
        <v/>
      </c>
      <c r="N63" t="str">
        <f t="shared" si="20"/>
        <v/>
      </c>
      <c r="O63" t="str">
        <f t="shared" si="21"/>
        <v/>
      </c>
      <c r="P63" t="str">
        <f>IF(AND(配置数据库!$C95="售前填写",INDEX(配置数据库!$G95:$AG95,1,MATCH($B$3,配置数据库!$G$8:$AG$8,0))&lt;&gt;""),SUMPRODUCT((配置数据库!$C$10:$C95="售前填写")*(INDEX(配置数据库!$G$10:$AG95,0,MATCH($B$3,配置数据库!$G$8:$AG$8,0))&lt;&gt;"")),"")</f>
        <v/>
      </c>
      <c r="Q63">
        <f>IF(AND(配置数据库!$C95="默认配置",INDEX(配置数据库!$G95:$AG95,1,MATCH($B$3,配置数据库!$G$8:$AG$8,0))&lt;&gt;""),SUMPRODUCT((配置数据库!$C$10:$C95="默认配置")*(INDEX(配置数据库!$G$10:$AG95,0,MATCH($B$3,配置数据库!$G$8:$AG$8,0))&lt;&gt;"")),"")</f>
        <v>28</v>
      </c>
    </row>
    <row r="64" ht="28" customHeight="1" spans="1:17">
      <c r="A64" s="17" t="str">
        <f>IFERROR(INDEX(配置数据库!$A:$A,MATCH(22,$Q:$Q,0)),"")</f>
        <v>非驶入方向边长-L(mm)</v>
      </c>
      <c r="B64" s="21">
        <f>IF($A64="","",IFERROR(LEFT(SUBSTITUTE(IFERROR(INDEX(配置数据库!$G:$AG,MATCH(22,$Q:$Q,0),MATCH($B$3,配置数据库!$G$8:$AG$8,0)),""),";","；"),FIND("；",SUBSTITUTE(IFERROR(INDEX(配置数据库!$G:$AG,MATCH(22,$Q:$Q,0),MATCH($B$3,配置数据库!$G$8:$AG$8,0)),""),";","；"))-1),IFERROR(INDEX(配置数据库!$G:$AG,MATCH(22,$Q:$Q,0),MATCH($B$3,配置数据库!$G$8:$AG$8,0)),"")))</f>
        <v>0</v>
      </c>
      <c r="C64" s="17" t="str">
        <f t="shared" si="11"/>
        <v>自动带出</v>
      </c>
      <c r="D64" s="17">
        <f>IF($A64="","",IFERROR(INDEX(配置数据库!$B:$B,MATCH(22,$Q:$Q,0)),""))</f>
        <v>0</v>
      </c>
      <c r="E64">
        <f>IF($A64="","",IFERROR(INDEX(配置数据库!$G:$AG,MATCH($A64,配置数据库!$A:$A,0),MATCH($B$3,配置数据库!$G$8:$AG$8,0)),""))</f>
        <v>0</v>
      </c>
      <c r="F64" t="str">
        <f t="shared" si="12"/>
        <v/>
      </c>
      <c r="G64" t="str">
        <f t="shared" si="13"/>
        <v/>
      </c>
      <c r="H64" t="str">
        <f t="shared" si="14"/>
        <v/>
      </c>
      <c r="I64" t="str">
        <f t="shared" si="15"/>
        <v/>
      </c>
      <c r="J64" t="str">
        <f t="shared" si="16"/>
        <v/>
      </c>
      <c r="K64" t="str">
        <f t="shared" si="17"/>
        <v/>
      </c>
      <c r="L64" t="str">
        <f t="shared" si="18"/>
        <v/>
      </c>
      <c r="M64" t="str">
        <f t="shared" si="19"/>
        <v/>
      </c>
      <c r="N64" t="str">
        <f t="shared" si="20"/>
        <v/>
      </c>
      <c r="O64" t="str">
        <f t="shared" si="21"/>
        <v/>
      </c>
      <c r="P64" t="str">
        <f>IF(AND(配置数据库!$C96="售前填写",INDEX(配置数据库!$G96:$AG96,1,MATCH($B$3,配置数据库!$G$8:$AG$8,0))&lt;&gt;""),SUMPRODUCT((配置数据库!$C$10:$C96="售前填写")*(INDEX(配置数据库!$G$10:$AG96,0,MATCH($B$3,配置数据库!$G$8:$AG$8,0))&lt;&gt;"")),"")</f>
        <v/>
      </c>
      <c r="Q64">
        <f>IF(AND(配置数据库!$C96="默认配置",INDEX(配置数据库!$G96:$AG96,1,MATCH($B$3,配置数据库!$G$8:$AG$8,0))&lt;&gt;""),SUMPRODUCT((配置数据库!$C$10:$C96="默认配置")*(INDEX(配置数据库!$G$10:$AG96,0,MATCH($B$3,配置数据库!$G$8:$AG$8,0))&lt;&gt;"")),"")</f>
        <v>29</v>
      </c>
    </row>
    <row r="65" ht="28" customHeight="1" spans="1:17">
      <c r="A65" s="17" t="str">
        <f>IFERROR(INDEX(配置数据库!$A:$A,MATCH(23,$Q:$Q,0)),"")</f>
        <v>非驶入方向支腿间距-S2(mm)</v>
      </c>
      <c r="B65" s="21">
        <f>IF($A65="","",IFERROR(LEFT(SUBSTITUTE(IFERROR(INDEX(配置数据库!$G:$AG,MATCH(23,$Q:$Q,0),MATCH($B$3,配置数据库!$G$8:$AG$8,0)),""),";","；"),FIND("；",SUBSTITUTE(IFERROR(INDEX(配置数据库!$G:$AG,MATCH(23,$Q:$Q,0),MATCH($B$3,配置数据库!$G$8:$AG$8,0)),""),";","；"))-1),IFERROR(INDEX(配置数据库!$G:$AG,MATCH(23,$Q:$Q,0),MATCH($B$3,配置数据库!$G$8:$AG$8,0)),"")))</f>
        <v>0</v>
      </c>
      <c r="C65" s="17" t="str">
        <f t="shared" si="11"/>
        <v>自动带出</v>
      </c>
      <c r="D65" s="17">
        <f>IF($A65="","",IFERROR(INDEX(配置数据库!$B:$B,MATCH(23,$Q:$Q,0)),""))</f>
        <v>0</v>
      </c>
      <c r="E65">
        <f>IF($A65="","",IFERROR(INDEX(配置数据库!$G:$AG,MATCH($A65,配置数据库!$A:$A,0),MATCH($B$3,配置数据库!$G$8:$AG$8,0)),""))</f>
        <v>0</v>
      </c>
      <c r="F65" t="str">
        <f t="shared" si="12"/>
        <v/>
      </c>
      <c r="G65" t="str">
        <f t="shared" si="13"/>
        <v/>
      </c>
      <c r="H65" t="str">
        <f t="shared" si="14"/>
        <v/>
      </c>
      <c r="I65" t="str">
        <f t="shared" si="15"/>
        <v/>
      </c>
      <c r="J65" t="str">
        <f t="shared" si="16"/>
        <v/>
      </c>
      <c r="K65" t="str">
        <f t="shared" si="17"/>
        <v/>
      </c>
      <c r="L65" t="str">
        <f t="shared" si="18"/>
        <v/>
      </c>
      <c r="M65" t="str">
        <f t="shared" si="19"/>
        <v/>
      </c>
      <c r="N65" t="str">
        <f t="shared" si="20"/>
        <v/>
      </c>
      <c r="O65" t="str">
        <f t="shared" si="21"/>
        <v/>
      </c>
      <c r="P65" t="str">
        <f>IF(AND(配置数据库!$C99="售前填写",INDEX(配置数据库!$G99:$AG99,1,MATCH($B$3,配置数据库!$G$8:$AG$8,0))&lt;&gt;""),SUMPRODUCT((配置数据库!$C$10:$C99="售前填写")*(INDEX(配置数据库!$G$10:$AG99,0,MATCH($B$3,配置数据库!$G$8:$AG$8,0))&lt;&gt;"")),"")</f>
        <v/>
      </c>
      <c r="Q65">
        <f>IF(AND(配置数据库!$C99="默认配置",INDEX(配置数据库!$G99:$AG99,1,MATCH($B$3,配置数据库!$G$8:$AG$8,0))&lt;&gt;""),SUMPRODUCT((配置数据库!$C$10:$C99="默认配置")*(INDEX(配置数据库!$G$10:$AG99,0,MATCH($B$3,配置数据库!$G$8:$AG$8,0))&lt;&gt;"")),"")</f>
        <v>31</v>
      </c>
    </row>
    <row r="66" ht="28" customHeight="1" spans="1:17">
      <c r="A66" s="17" t="str">
        <f>IFERROR(INDEX(配置数据库!$A:$A,MATCH(24,$Q:$Q,0)),"")</f>
        <v>非驶入方向支腿边长-W2(mm)</v>
      </c>
      <c r="B66" s="21">
        <f>IF($A66="","",IFERROR(LEFT(SUBSTITUTE(IFERROR(INDEX(配置数据库!$G:$AG,MATCH(24,$Q:$Q,0),MATCH($B$3,配置数据库!$G$8:$AG$8,0)),""),";","；"),FIND("；",SUBSTITUTE(IFERROR(INDEX(配置数据库!$G:$AG,MATCH(24,$Q:$Q,0),MATCH($B$3,配置数据库!$G$8:$AG$8,0)),""),";","；"))-1),IFERROR(INDEX(配置数据库!$G:$AG,MATCH(24,$Q:$Q,0),MATCH($B$3,配置数据库!$G$8:$AG$8,0)),"")))</f>
        <v>0</v>
      </c>
      <c r="C66" s="17" t="str">
        <f t="shared" si="11"/>
        <v>自动带出</v>
      </c>
      <c r="D66" s="17">
        <f>IF($A66="","",IFERROR(INDEX(配置数据库!$B:$B,MATCH(24,$Q:$Q,0)),""))</f>
        <v>0</v>
      </c>
      <c r="E66">
        <f>IF($A66="","",IFERROR(INDEX(配置数据库!$G:$AG,MATCH($A66,配置数据库!$A:$A,0),MATCH($B$3,配置数据库!$G$8:$AG$8,0)),""))</f>
        <v>0</v>
      </c>
      <c r="F66" t="str">
        <f t="shared" si="12"/>
        <v/>
      </c>
      <c r="G66" t="str">
        <f t="shared" si="13"/>
        <v/>
      </c>
      <c r="H66" t="str">
        <f t="shared" si="14"/>
        <v/>
      </c>
      <c r="I66" t="str">
        <f t="shared" si="15"/>
        <v/>
      </c>
      <c r="J66" t="str">
        <f t="shared" si="16"/>
        <v/>
      </c>
      <c r="K66" t="str">
        <f t="shared" si="17"/>
        <v/>
      </c>
      <c r="L66" t="str">
        <f t="shared" si="18"/>
        <v/>
      </c>
      <c r="M66" t="str">
        <f t="shared" si="19"/>
        <v/>
      </c>
      <c r="N66" t="str">
        <f t="shared" si="20"/>
        <v/>
      </c>
      <c r="O66" t="str">
        <f t="shared" si="21"/>
        <v/>
      </c>
      <c r="P66" t="str">
        <f>IF(AND(配置数据库!$C17="售前填写",INDEX(配置数据库!$G17:$AG17,1,MATCH($B$3,配置数据库!$G$8:$AG$8,0))&lt;&gt;""),SUMPRODUCT((配置数据库!$C$10:$C99="售前填写")*(INDEX(配置数据库!$G$10:$AG99,0,MATCH($B$3,配置数据库!$G$8:$AG$8,0))&lt;&gt;"")),"")</f>
        <v/>
      </c>
      <c r="Q66" t="str">
        <f>IF(AND(配置数据库!$C17="默认配置",INDEX(配置数据库!$G17:$AG17,1,MATCH($B$3,配置数据库!$G$8:$AG$8,0))&lt;&gt;""),SUMPRODUCT((配置数据库!$C$10:$C99="默认配置")*(INDEX(配置数据库!$G$10:$AG99,0,MATCH($B$3,配置数据库!$G$8:$AG$8,0))&lt;&gt;"")),"")</f>
        <v/>
      </c>
    </row>
    <row r="67" ht="28" customHeight="1" spans="1:17">
      <c r="A67" s="17" t="str">
        <f>IFERROR(INDEX(配置数据库!$A:$A,MATCH(25,$Q:$Q,0)),"")</f>
        <v>默认配置</v>
      </c>
      <c r="B67" s="21">
        <f>IF($A67="","",IFERROR(LEFT(SUBSTITUTE(IFERROR(INDEX(配置数据库!$G:$AG,MATCH(25,$Q:$Q,0),MATCH($B$3,配置数据库!$G$8:$AG$8,0)),""),";","；"),FIND("；",SUBSTITUTE(IFERROR(INDEX(配置数据库!$G:$AG,MATCH(25,$Q:$Q,0),MATCH($B$3,配置数据库!$G$8:$AG$8,0)),""),";","；"))-1),IFERROR(INDEX(配置数据库!$G:$AG,MATCH(25,$Q:$Q,0),MATCH($B$3,配置数据库!$G$8:$AG$8,0)),"")))</f>
        <v>0</v>
      </c>
      <c r="C67" s="17" t="str">
        <f t="shared" si="11"/>
        <v>自动带出</v>
      </c>
      <c r="D67" s="17" t="str">
        <f>IF($A67="","",IFERROR(INDEX(配置数据库!$B:$B,MATCH(25,$Q:$Q,0)),""))</f>
        <v>配图</v>
      </c>
      <c r="E67">
        <f>IF($A67="","",IFERROR(INDEX(配置数据库!$G:$AG,MATCH($A67,配置数据库!$A:$A,0),MATCH($B$3,配置数据库!$G$8:$AG$8,0)),""))</f>
        <v>0</v>
      </c>
      <c r="F67" t="str">
        <f t="shared" si="12"/>
        <v/>
      </c>
      <c r="G67" t="str">
        <f t="shared" si="13"/>
        <v/>
      </c>
      <c r="H67" t="str">
        <f t="shared" si="14"/>
        <v/>
      </c>
      <c r="I67" t="str">
        <f t="shared" si="15"/>
        <v/>
      </c>
      <c r="J67" t="str">
        <f t="shared" si="16"/>
        <v/>
      </c>
      <c r="K67" t="str">
        <f t="shared" si="17"/>
        <v/>
      </c>
      <c r="L67" t="str">
        <f t="shared" si="18"/>
        <v/>
      </c>
      <c r="M67" t="str">
        <f t="shared" si="19"/>
        <v/>
      </c>
      <c r="N67" t="str">
        <f t="shared" si="20"/>
        <v/>
      </c>
      <c r="O67" t="str">
        <f t="shared" si="21"/>
        <v/>
      </c>
      <c r="P67" t="e">
        <f>IF(AND(配置数据库!#REF!="售前填写",INDEX(配置数据库!#REF!,1,MATCH($B$3,配置数据库!$G$8:$AG$8,0))&lt;&gt;""),SUMPRODUCT((配置数据库!$C$10:$C99="售前填写")*(INDEX(配置数据库!$G$10:$AG99,0,MATCH($B$3,配置数据库!$G$8:$AG$8,0))&lt;&gt;"")),"")</f>
        <v>#REF!</v>
      </c>
      <c r="Q67" t="e">
        <f>IF(AND(配置数据库!#REF!="默认配置",INDEX(配置数据库!#REF!,1,MATCH($B$3,配置数据库!$G$8:$AG$8,0))&lt;&gt;""),SUMPRODUCT((配置数据库!$C$10:$C99="默认配置")*(INDEX(配置数据库!$G$10:$AG99,0,MATCH($B$3,配置数据库!$G$8:$AG$8,0))&lt;&gt;"")),"")</f>
        <v>#REF!</v>
      </c>
    </row>
    <row r="68" ht="28" customHeight="1" spans="1:17">
      <c r="A68" s="17" t="str">
        <f>IFERROR(INDEX(配置数据库!$A:$A,MATCH(26,$Q:$Q,0)),"")</f>
        <v>工控</v>
      </c>
      <c r="B68" s="21" t="str">
        <f>IF($A68="","",IFERROR(LEFT(SUBSTITUTE(IFERROR(INDEX(配置数据库!$G:$AG,MATCH(26,$Q:$Q,0),MATCH($B$3,配置数据库!$G$8:$AG$8,0)),""),";","；"),FIND("；",SUBSTITUTE(IFERROR(INDEX(配置数据库!$G:$AG,MATCH(26,$Q:$Q,0),MATCH($B$3,配置数据库!$G$8:$AG$8,0)),""),";","；"))-1),IFERROR(INDEX(配置数据库!$G:$AG,MATCH(26,$Q:$Q,0),MATCH($B$3,配置数据库!$G$8:$AG$8,0)),"")))</f>
        <v>40051410014 自研三代（wifi 模块外置）</v>
      </c>
      <c r="C68" s="17" t="str">
        <f t="shared" si="11"/>
        <v>自动带出</v>
      </c>
      <c r="D68" s="17" t="str">
        <f>IF($A68="","",IFERROR(INDEX(配置数据库!$B:$B,MATCH(26,$Q:$Q,0)),""))</f>
        <v/>
      </c>
      <c r="E68" t="str">
        <f>IF($A68="","",IFERROR(INDEX(配置数据库!$G:$AG,MATCH($A68,配置数据库!$A:$A,0),MATCH($B$3,配置数据库!$G$8:$AG$8,0)),""))</f>
        <v>40051410014 自研三代（wifi 模块外置）</v>
      </c>
      <c r="F68" t="str">
        <f t="shared" si="12"/>
        <v/>
      </c>
      <c r="G68" t="str">
        <f t="shared" si="13"/>
        <v/>
      </c>
      <c r="H68" t="str">
        <f t="shared" si="14"/>
        <v/>
      </c>
      <c r="I68" t="str">
        <f t="shared" si="15"/>
        <v/>
      </c>
      <c r="J68" t="str">
        <f t="shared" si="16"/>
        <v/>
      </c>
      <c r="K68" t="str">
        <f t="shared" si="17"/>
        <v/>
      </c>
      <c r="L68" t="str">
        <f t="shared" si="18"/>
        <v/>
      </c>
      <c r="M68" t="str">
        <f t="shared" si="19"/>
        <v/>
      </c>
      <c r="N68" t="str">
        <f t="shared" si="20"/>
        <v/>
      </c>
      <c r="O68" t="str">
        <f t="shared" si="21"/>
        <v/>
      </c>
      <c r="P68" t="str">
        <f>IF(AND(配置数据库!$C14="售前填写",INDEX(配置数据库!$G14:$AG14,1,MATCH($B$3,配置数据库!$G$8:$AG$8,0))&lt;&gt;""),SUMPRODUCT((配置数据库!$C$10:$C99="售前填写")*(INDEX(配置数据库!$G$10:$AG99,0,MATCH($B$3,配置数据库!$G$8:$AG$8,0))&lt;&gt;"")),"")</f>
        <v/>
      </c>
      <c r="Q68" t="str">
        <f>IF(AND(配置数据库!$C14="默认配置",INDEX(配置数据库!$G14:$AG14,1,MATCH($B$3,配置数据库!$G$8:$AG$8,0))&lt;&gt;""),SUMPRODUCT((配置数据库!$C$10:$C99="默认配置")*(INDEX(配置数据库!$G$10:$AG99,0,MATCH($B$3,配置数据库!$G$8:$AG$8,0))&lt;&gt;"")),"")</f>
        <v/>
      </c>
    </row>
    <row r="69" ht="28" customHeight="1" spans="1:17">
      <c r="A69" s="17" t="str">
        <f>IFERROR(INDEX(配置数据库!$A:$A,MATCH(27,$Q:$Q,0)),"")</f>
        <v>电机</v>
      </c>
      <c r="B69" s="21" t="str">
        <f>IF($A69="","",IFERROR(LEFT(SUBSTITUTE(IFERROR(INDEX(配置数据库!$G:$AG,MATCH(27,$Q:$Q,0),MATCH($B$3,配置数据库!$G$8:$AG$8,0)),""),";","；"),FIND("；",SUBSTITUTE(IFERROR(INDEX(配置数据库!$G:$AG,MATCH(27,$Q:$Q,0),MATCH($B$3,配置数据库!$G$8:$AG$8,0)),""),";","；"))-1),IFERROR(INDEX(配置数据库!$G:$AG,MATCH(27,$Q:$Q,0),MATCH($B$3,配置数据库!$G$8:$AG$8,0)),"")))</f>
        <v>瑞博特</v>
      </c>
      <c r="C69" s="17" t="str">
        <f t="shared" si="11"/>
        <v>自动带出</v>
      </c>
      <c r="D69" s="17" t="str">
        <f>IF($A69="","",IFERROR(INDEX(配置数据库!$B:$B,MATCH(27,$Q:$Q,0)),""))</f>
        <v/>
      </c>
      <c r="E69" t="str">
        <f>IF($A69="","",IFERROR(INDEX(配置数据库!$G:$AG,MATCH($A69,配置数据库!$A:$A,0),MATCH($B$3,配置数据库!$G$8:$AG$8,0)),""))</f>
        <v>瑞博特</v>
      </c>
      <c r="F69" t="str">
        <f t="shared" si="12"/>
        <v/>
      </c>
      <c r="G69" t="str">
        <f t="shared" si="13"/>
        <v/>
      </c>
      <c r="H69" t="str">
        <f t="shared" si="14"/>
        <v/>
      </c>
      <c r="I69" t="str">
        <f t="shared" si="15"/>
        <v/>
      </c>
      <c r="J69" t="str">
        <f t="shared" si="16"/>
        <v/>
      </c>
      <c r="K69" t="str">
        <f t="shared" si="17"/>
        <v/>
      </c>
      <c r="L69" t="str">
        <f t="shared" si="18"/>
        <v/>
      </c>
      <c r="M69" t="str">
        <f t="shared" si="19"/>
        <v/>
      </c>
      <c r="N69" t="str">
        <f t="shared" si="20"/>
        <v/>
      </c>
      <c r="O69" t="str">
        <f t="shared" si="21"/>
        <v/>
      </c>
      <c r="P69" t="e">
        <f>IF(AND(配置数据库!#REF!="售前填写",INDEX(配置数据库!#REF!,1,MATCH($B$3,配置数据库!$G$8:$AG$8,0))&lt;&gt;""),SUMPRODUCT((配置数据库!$C$10:$C99="售前填写")*(INDEX(配置数据库!$G$10:$AG99,0,MATCH($B$3,配置数据库!$G$8:$AG$8,0))&lt;&gt;"")),"")</f>
        <v>#REF!</v>
      </c>
      <c r="Q69" t="e">
        <f>IF(AND(配置数据库!#REF!="默认配置",INDEX(配置数据库!#REF!,1,MATCH($B$3,配置数据库!$G$8:$AG$8,0))&lt;&gt;""),SUMPRODUCT((配置数据库!$C$10:$C99="默认配置")*(INDEX(配置数据库!$G$10:$AG99,0,MATCH($B$3,配置数据库!$G$8:$AG$8,0))&lt;&gt;"")),"")</f>
        <v>#REF!</v>
      </c>
    </row>
    <row r="70" ht="28" customHeight="1" spans="1:17">
      <c r="A70" s="17" t="str">
        <f>IFERROR(INDEX(配置数据库!$A:$A,MATCH(28,$Q:$Q,0)),"")</f>
        <v>驱动器</v>
      </c>
      <c r="B70" s="21" t="str">
        <f>IF($A70="","",IFERROR(LEFT(SUBSTITUTE(IFERROR(INDEX(配置数据库!$G:$AG,MATCH(28,$Q:$Q,0),MATCH($B$3,配置数据库!$G$8:$AG$8,0)),""),";","；"),FIND("；",SUBSTITUTE(IFERROR(INDEX(配置数据库!$G:$AG,MATCH(28,$Q:$Q,0),MATCH($B$3,配置数据库!$G$8:$AG$8,0)),""),";","；"))-1),IFERROR(INDEX(配置数据库!$G:$AG,MATCH(28,$Q:$Q,0),MATCH($B$3,配置数据库!$G$8:$AG$8,0)),"")))</f>
        <v>瑞博特</v>
      </c>
      <c r="C70" s="17" t="str">
        <f t="shared" si="11"/>
        <v>自动带出</v>
      </c>
      <c r="D70" s="17" t="str">
        <f>IF($A70="","",IFERROR(INDEX(配置数据库!$B:$B,MATCH(28,$Q:$Q,0)),""))</f>
        <v/>
      </c>
      <c r="E70" t="str">
        <f>IF($A70="","",IFERROR(INDEX(配置数据库!$G:$AG,MATCH($A70,配置数据库!$A:$A,0),MATCH($B$3,配置数据库!$G$8:$AG$8,0)),""))</f>
        <v>瑞博特</v>
      </c>
      <c r="F70" t="str">
        <f t="shared" si="12"/>
        <v/>
      </c>
      <c r="G70" t="str">
        <f t="shared" si="13"/>
        <v/>
      </c>
      <c r="H70" t="str">
        <f t="shared" si="14"/>
        <v/>
      </c>
      <c r="I70" t="str">
        <f t="shared" si="15"/>
        <v/>
      </c>
      <c r="J70" t="str">
        <f t="shared" si="16"/>
        <v/>
      </c>
      <c r="K70" t="str">
        <f t="shared" si="17"/>
        <v/>
      </c>
      <c r="L70" t="str">
        <f t="shared" si="18"/>
        <v/>
      </c>
      <c r="M70" t="str">
        <f t="shared" si="19"/>
        <v/>
      </c>
      <c r="N70" t="str">
        <f t="shared" si="20"/>
        <v/>
      </c>
      <c r="O70" t="str">
        <f t="shared" si="21"/>
        <v/>
      </c>
      <c r="P70" t="e">
        <f>IF(AND(配置数据库!#REF!="售前填写",INDEX(配置数据库!#REF!,1,MATCH($B$3,配置数据库!$G$8:$AG$8,0))&lt;&gt;""),SUMPRODUCT((配置数据库!$C$10:$C99="售前填写")*(INDEX(配置数据库!$G$10:$AG99,0,MATCH($B$3,配置数据库!$G$8:$AG$8,0))&lt;&gt;"")),"")</f>
        <v>#REF!</v>
      </c>
      <c r="Q70" t="e">
        <f>IF(AND(配置数据库!#REF!="默认配置",INDEX(配置数据库!#REF!,1,MATCH($B$3,配置数据库!$G$8:$AG$8,0))&lt;&gt;""),SUMPRODUCT((配置数据库!$C$10:$C99="默认配置")*(INDEX(配置数据库!$G$10:$AG99,0,MATCH($B$3,配置数据库!$G$8:$AG$8,0))&lt;&gt;"")),"")</f>
        <v>#REF!</v>
      </c>
    </row>
    <row r="71" ht="28" customHeight="1" spans="1:17">
      <c r="A71" s="17" t="str">
        <f>IFERROR(INDEX(配置数据库!$A:$A,MATCH(29,$Q:$Q,0)),"")</f>
        <v>电池</v>
      </c>
      <c r="B71" s="21" t="str">
        <f>IF($A71="","",IFERROR(LEFT(SUBSTITUTE(IFERROR(INDEX(配置数据库!$G:$AG,MATCH(29,$Q:$Q,0),MATCH($B$3,配置数据库!$G$8:$AG$8,0)),""),";","；"),FIND("；",SUBSTITUTE(IFERROR(INDEX(配置数据库!$G:$AG,MATCH(29,$Q:$Q,0),MATCH($B$3,配置数据库!$G$8:$AG$8,0)),""),";","；"))-1),IFERROR(INDEX(配置数据库!$G:$AG,MATCH(29,$Q:$Q,0),MATCH($B$3,配置数据库!$G$8:$AG$8,0)),"")))</f>
        <v>40051210007 电池 24210-200200 国轩GXFB-24210-100200-A0-CE</v>
      </c>
      <c r="C71" s="17" t="str">
        <f t="shared" si="11"/>
        <v>自动带出</v>
      </c>
      <c r="D71" s="17" t="str">
        <f>IF($A71="","",IFERROR(INDEX(配置数据库!$B:$B,MATCH(29,$Q:$Q,0)),""))</f>
        <v/>
      </c>
      <c r="E71" t="str">
        <f>IF($A71="","",IFERROR(INDEX(配置数据库!$G:$AG,MATCH($A71,配置数据库!$A:$A,0),MATCH($B$3,配置数据库!$G$8:$AG$8,0)),""))</f>
        <v>40051210007 电池 24210-200200 国轩GXFB-24210-100200-A0-CE</v>
      </c>
      <c r="F71" t="str">
        <f t="shared" si="12"/>
        <v/>
      </c>
      <c r="G71" t="str">
        <f t="shared" si="13"/>
        <v/>
      </c>
      <c r="H71" t="str">
        <f t="shared" si="14"/>
        <v/>
      </c>
      <c r="I71" t="str">
        <f t="shared" si="15"/>
        <v/>
      </c>
      <c r="J71" t="str">
        <f t="shared" si="16"/>
        <v/>
      </c>
      <c r="K71" t="str">
        <f t="shared" si="17"/>
        <v/>
      </c>
      <c r="L71" t="str">
        <f t="shared" si="18"/>
        <v/>
      </c>
      <c r="M71" t="str">
        <f t="shared" si="19"/>
        <v/>
      </c>
      <c r="N71" t="str">
        <f t="shared" si="20"/>
        <v/>
      </c>
      <c r="O71" t="str">
        <f t="shared" si="21"/>
        <v/>
      </c>
      <c r="P71" t="e">
        <f>IF(AND(配置数据库!#REF!="售前填写",INDEX(配置数据库!#REF!,1,MATCH($B$3,配置数据库!$G$8:$AG$8,0))&lt;&gt;""),SUMPRODUCT((配置数据库!$C$10:$C99="售前填写")*(INDEX(配置数据库!$G$10:$AG99,0,MATCH($B$3,配置数据库!$G$8:$AG$8,0))&lt;&gt;"")),"")</f>
        <v>#REF!</v>
      </c>
      <c r="Q71" t="e">
        <f>IF(AND(配置数据库!#REF!="默认配置",INDEX(配置数据库!#REF!,1,MATCH($B$3,配置数据库!$G$8:$AG$8,0))&lt;&gt;""),SUMPRODUCT((配置数据库!$C$10:$C99="默认配置")*(INDEX(配置数据库!$G$10:$AG99,0,MATCH($B$3,配置数据库!$G$8:$AG$8,0))&lt;&gt;"")),"")</f>
        <v>#REF!</v>
      </c>
    </row>
    <row r="72" ht="28" customHeight="1" spans="1:17">
      <c r="A72" s="17" t="str">
        <f>IFERROR(INDEX(配置数据库!$A:$A,MATCH(30,$Q:$Q,0)),"")</f>
        <v>RGBD相机</v>
      </c>
      <c r="B72" s="21" t="str">
        <f>IF($A72="","",IFERROR(LEFT(SUBSTITUTE(IFERROR(INDEX(配置数据库!$G:$AG,MATCH(30,$Q:$Q,0),MATCH($B$3,配置数据库!$G$8:$AG$8,0)),""),";","；"),FIND("；",SUBSTITUTE(IFERROR(INDEX(配置数据库!$G:$AG,MATCH(30,$Q:$Q,0),MATCH($B$3,配置数据库!$G$8:$AG$8,0)),""),";","；"))-1),IFERROR(INDEX(配置数据库!$G:$AG,MATCH(30,$Q:$Q,0),MATCH($B$3,配置数据库!$G$8:$AG$8,0)),"")))</f>
        <v/>
      </c>
      <c r="C72" s="17" t="str">
        <f t="shared" si="11"/>
        <v>自动带出</v>
      </c>
      <c r="D72" s="17" t="str">
        <f>IF($A72="","",IFERROR(INDEX(配置数据库!$B:$B,MATCH(30,$Q:$Q,0)),""))</f>
        <v/>
      </c>
      <c r="E72" t="str">
        <f>IF($A72="","",IFERROR(INDEX(配置数据库!$G:$AG,MATCH($A72,配置数据库!$A:$A,0),MATCH($B$3,配置数据库!$G$8:$AG$8,0)),""))</f>
        <v/>
      </c>
      <c r="F72" t="str">
        <f t="shared" si="12"/>
        <v/>
      </c>
      <c r="G72" t="str">
        <f t="shared" si="13"/>
        <v/>
      </c>
      <c r="H72" t="str">
        <f t="shared" si="14"/>
        <v/>
      </c>
      <c r="I72" t="str">
        <f t="shared" si="15"/>
        <v/>
      </c>
      <c r="J72" t="str">
        <f t="shared" si="16"/>
        <v/>
      </c>
      <c r="K72" t="str">
        <f t="shared" si="17"/>
        <v/>
      </c>
      <c r="L72" t="str">
        <f t="shared" si="18"/>
        <v/>
      </c>
      <c r="M72" t="str">
        <f t="shared" si="19"/>
        <v/>
      </c>
      <c r="N72" t="str">
        <f t="shared" si="20"/>
        <v/>
      </c>
      <c r="O72" t="str">
        <f t="shared" si="21"/>
        <v/>
      </c>
      <c r="P72" t="e">
        <f>IF(AND(配置数据库!#REF!="售前填写",INDEX(配置数据库!#REF!,1,MATCH($B$3,配置数据库!$G$8:$AG$8,0))&lt;&gt;""),SUMPRODUCT((配置数据库!$C$10:$C99="售前填写")*(INDEX(配置数据库!$G$10:$AG99,0,MATCH($B$3,配置数据库!$G$8:$AG$8,0))&lt;&gt;"")),"")</f>
        <v>#REF!</v>
      </c>
      <c r="Q72" t="e">
        <f>IF(AND(配置数据库!#REF!="默认配置",INDEX(配置数据库!#REF!,1,MATCH($B$3,配置数据库!$G$8:$AG$8,0))&lt;&gt;""),SUMPRODUCT((配置数据库!$C$10:$C99="默认配置")*(INDEX(配置数据库!$G$10:$AG99,0,MATCH($B$3,配置数据库!$G$8:$AG$8,0))&lt;&gt;"")),"")</f>
        <v>#REF!</v>
      </c>
    </row>
    <row r="73" ht="28" customHeight="1" spans="1:17">
      <c r="A73" s="17" t="str">
        <f>IFERROR(INDEX(配置数据库!$A:$A,MATCH(31,$Q:$Q,0)),"")</f>
        <v>无线</v>
      </c>
      <c r="B73" s="21" t="str">
        <f>IF($A73="","",IFERROR(LEFT(SUBSTITUTE(IFERROR(INDEX(配置数据库!$G:$AG,MATCH(31,$Q:$Q,0),MATCH($B$3,配置数据库!$G$8:$AG$8,0)),""),";","；"),FIND("；",SUBSTITUTE(IFERROR(INDEX(配置数据库!$G:$AG,MATCH(31,$Q:$Q,0),MATCH($B$3,配置数据库!$G$8:$AG$8,0)),""),";","；"))-1),IFERROR(INDEX(配置数据库!$G:$AG,MATCH(31,$Q:$Q,0),MATCH($B$3,配置数据库!$G$8:$AG$8,0)),"")))</f>
        <v>wifi6</v>
      </c>
      <c r="C73" s="17" t="str">
        <f t="shared" si="11"/>
        <v>自动带出</v>
      </c>
      <c r="D73" s="17" t="str">
        <f>IF($A73="","",IFERROR(INDEX(配置数据库!$B:$B,MATCH(31,$Q:$Q,0)),""))</f>
        <v/>
      </c>
      <c r="E73" t="str">
        <f>IF($A73="","",IFERROR(INDEX(配置数据库!$G:$AG,MATCH($A73,配置数据库!$A:$A,0),MATCH($B$3,配置数据库!$G$8:$AG$8,0)),""))</f>
        <v>wifi6</v>
      </c>
      <c r="F73" t="str">
        <f t="shared" si="12"/>
        <v/>
      </c>
      <c r="G73" t="str">
        <f t="shared" si="13"/>
        <v/>
      </c>
      <c r="H73" t="str">
        <f t="shared" si="14"/>
        <v/>
      </c>
      <c r="I73" t="str">
        <f t="shared" si="15"/>
        <v/>
      </c>
      <c r="J73" t="str">
        <f t="shared" si="16"/>
        <v/>
      </c>
      <c r="K73" t="str">
        <f t="shared" si="17"/>
        <v/>
      </c>
      <c r="L73" t="str">
        <f t="shared" si="18"/>
        <v/>
      </c>
      <c r="M73" t="str">
        <f t="shared" si="19"/>
        <v/>
      </c>
      <c r="N73" t="str">
        <f t="shared" si="20"/>
        <v/>
      </c>
      <c r="O73" t="str">
        <f t="shared" si="21"/>
        <v/>
      </c>
      <c r="P73" t="str">
        <f>IF(AND(配置数据库!$C101="售前填写",INDEX(配置数据库!$G101:$AG101,1,MATCH($B$3,配置数据库!$G$8:$AG$8,0))&lt;&gt;""),SUMPRODUCT((配置数据库!$C$10:$C101="售前填写")*(INDEX(配置数据库!$G$10:$AG101,0,MATCH($B$3,配置数据库!$G$8:$AG$8,0))&lt;&gt;"")),"")</f>
        <v/>
      </c>
      <c r="Q73">
        <f>IF(AND(配置数据库!$C101="默认配置",INDEX(配置数据库!$G101:$AG101,1,MATCH($B$3,配置数据库!$G$8:$AG$8,0))&lt;&gt;""),SUMPRODUCT((配置数据库!$C$10:$C101="默认配置")*(INDEX(配置数据库!$G$10:$AG101,0,MATCH($B$3,配置数据库!$G$8:$AG$8,0))&lt;&gt;"")),"")</f>
        <v>33</v>
      </c>
    </row>
    <row r="74" ht="28" customHeight="1" spans="1:17">
      <c r="A74" s="17" t="str">
        <f>IFERROR(INDEX(配置数据库!$A:$A,MATCH(32,$Q:$Q,0)),"")</f>
        <v/>
      </c>
      <c r="B74" s="21" t="str">
        <f>IF($A74="","",IFERROR(LEFT(SUBSTITUTE(IFERROR(INDEX(配置数据库!$G:$AG,MATCH(32,$Q:$Q,0),MATCH($B$3,配置数据库!$G$8:$AG$8,0)),""),";","；"),FIND("；",SUBSTITUTE(IFERROR(INDEX(配置数据库!$G:$AG,MATCH(32,$Q:$Q,0),MATCH($B$3,配置数据库!$G$8:$AG$8,0)),""),";","；"))-1),IFERROR(INDEX(配置数据库!$G:$AG,MATCH(32,$Q:$Q,0),MATCH($B$3,配置数据库!$G$8:$AG$8,0)),"")))</f>
        <v/>
      </c>
      <c r="C74" s="17" t="str">
        <f t="shared" si="11"/>
        <v/>
      </c>
      <c r="D74" s="17" t="str">
        <f>IF($A74="","",IFERROR(INDEX(配置数据库!$B:$B,MATCH(32,$Q:$Q,0)),""))</f>
        <v/>
      </c>
      <c r="E74" t="str">
        <f>IF($A74="","",IFERROR(INDEX(配置数据库!$G:$AG,MATCH($A74,配置数据库!$A:$A,0),MATCH($B$3,配置数据库!$G$8:$AG$8,0)),""))</f>
        <v/>
      </c>
      <c r="F74" t="str">
        <f t="shared" si="12"/>
        <v/>
      </c>
      <c r="G74" t="str">
        <f t="shared" si="13"/>
        <v/>
      </c>
      <c r="H74" t="str">
        <f t="shared" si="14"/>
        <v/>
      </c>
      <c r="I74" t="str">
        <f t="shared" si="15"/>
        <v/>
      </c>
      <c r="J74" t="str">
        <f t="shared" si="16"/>
        <v/>
      </c>
      <c r="K74" t="str">
        <f t="shared" si="17"/>
        <v/>
      </c>
      <c r="L74" t="str">
        <f t="shared" si="18"/>
        <v/>
      </c>
      <c r="M74" t="str">
        <f t="shared" si="19"/>
        <v/>
      </c>
      <c r="N74" t="str">
        <f t="shared" si="20"/>
        <v/>
      </c>
      <c r="O74" t="str">
        <f t="shared" si="21"/>
        <v/>
      </c>
      <c r="P74" t="str">
        <f>IF(AND(配置数据库!$C102="售前填写",INDEX(配置数据库!$G102:$AG102,1,MATCH($B$3,配置数据库!$G$8:$AG$8,0))&lt;&gt;""),SUMPRODUCT((配置数据库!$C$10:$C102="售前填写")*(INDEX(配置数据库!$G$10:$AG102,0,MATCH($B$3,配置数据库!$G$8:$AG$8,0))&lt;&gt;"")),"")</f>
        <v/>
      </c>
      <c r="Q74">
        <f>IF(AND(配置数据库!$C102="默认配置",INDEX(配置数据库!$G102:$AG102,1,MATCH($B$3,配置数据库!$G$8:$AG$8,0))&lt;&gt;""),SUMPRODUCT((配置数据库!$C$10:$C102="默认配置")*(INDEX(配置数据库!$G$10:$AG102,0,MATCH($B$3,配置数据库!$G$8:$AG$8,0))&lt;&gt;"")),"")</f>
        <v>34</v>
      </c>
    </row>
    <row r="75" ht="28" customHeight="1" spans="1:17">
      <c r="A75" s="17" t="str">
        <f>IFERROR(INDEX(配置数据库!$A:$A,MATCH(33,$Q:$Q,0)),"")</f>
        <v>左后雷达</v>
      </c>
      <c r="B75" s="21" t="str">
        <f>IF($A75="","",IFERROR(LEFT(SUBSTITUTE(IFERROR(INDEX(配置数据库!$G:$AG,MATCH(33,$Q:$Q,0),MATCH($B$3,配置数据库!$G$8:$AG$8,0)),""),";","；"),FIND("；",SUBSTITUTE(IFERROR(INDEX(配置数据库!$G:$AG,MATCH(33,$Q:$Q,0),MATCH($B$3,配置数据库!$G$8:$AG$8,0)),""),";","；"))-1),IFERROR(INDEX(配置数据库!$G:$AG,MATCH(33,$Q:$Q,0),MATCH($B$3,配置数据库!$G$8:$AG$8,0)),"")))</f>
        <v>X</v>
      </c>
      <c r="C75" s="17" t="str">
        <f t="shared" si="11"/>
        <v>自动带出</v>
      </c>
      <c r="D75" s="17" t="str">
        <f>IF($A75="","",IFERROR(INDEX(配置数据库!$B:$B,MATCH(33,$Q:$Q,0)),""))</f>
        <v/>
      </c>
      <c r="E75" t="str">
        <f>IF($A75="","",IFERROR(INDEX(配置数据库!$G:$AG,MATCH($A75,配置数据库!$A:$A,0),MATCH($B$3,配置数据库!$G$8:$AG$8,0)),""))</f>
        <v>X</v>
      </c>
      <c r="F75" t="str">
        <f t="shared" si="12"/>
        <v/>
      </c>
      <c r="G75" t="str">
        <f t="shared" si="13"/>
        <v/>
      </c>
      <c r="H75" t="str">
        <f t="shared" si="14"/>
        <v/>
      </c>
      <c r="I75" t="str">
        <f t="shared" si="15"/>
        <v/>
      </c>
      <c r="J75" t="str">
        <f t="shared" si="16"/>
        <v/>
      </c>
      <c r="K75" t="str">
        <f t="shared" si="17"/>
        <v/>
      </c>
      <c r="L75" t="str">
        <f t="shared" si="18"/>
        <v/>
      </c>
      <c r="M75" t="str">
        <f t="shared" si="19"/>
        <v/>
      </c>
      <c r="N75" t="str">
        <f t="shared" si="20"/>
        <v/>
      </c>
      <c r="O75" t="str">
        <f t="shared" si="21"/>
        <v/>
      </c>
      <c r="P75" t="str">
        <f>IF(AND(配置数据库!$C103="售前填写",INDEX(配置数据库!$G103:$AG103,1,MATCH($B$3,配置数据库!$G$8:$AG$8,0))&lt;&gt;""),SUMPRODUCT((配置数据库!$C$10:$C103="售前填写")*(INDEX(配置数据库!$G$10:$AG103,0,MATCH($B$3,配置数据库!$G$8:$AG$8,0))&lt;&gt;"")),"")</f>
        <v/>
      </c>
      <c r="Q75">
        <f>IF(AND(配置数据库!$C103="默认配置",INDEX(配置数据库!$G103:$AG103,1,MATCH($B$3,配置数据库!$G$8:$AG$8,0))&lt;&gt;""),SUMPRODUCT((配置数据库!$C$10:$C103="默认配置")*(INDEX(配置数据库!$G$10:$AG103,0,MATCH($B$3,配置数据库!$G$8:$AG$8,0))&lt;&gt;"")),"")</f>
        <v>35</v>
      </c>
    </row>
    <row r="76" ht="28" customHeight="1" spans="1:17">
      <c r="A76" s="17" t="str">
        <f>IFERROR(INDEX(配置数据库!$A:$A,MATCH(34,$Q:$Q,0)),"")</f>
        <v>右后雷达</v>
      </c>
      <c r="B76" s="21" t="str">
        <f>IF($A76="","",IFERROR(LEFT(SUBSTITUTE(IFERROR(INDEX(配置数据库!$G:$AG,MATCH(34,$Q:$Q,0),MATCH($B$3,配置数据库!$G$8:$AG$8,0)),""),";","；"),FIND("；",SUBSTITUTE(IFERROR(INDEX(配置数据库!$G:$AG,MATCH(34,$Q:$Q,0),MATCH($B$3,配置数据库!$G$8:$AG$8,0)),""),";","；"))-1),IFERROR(INDEX(配置数据库!$G:$AG,MATCH(34,$Q:$Q,0),MATCH($B$3,配置数据库!$G$8:$AG$8,0)),"")))</f>
        <v>X</v>
      </c>
      <c r="C76" s="17" t="str">
        <f t="shared" si="11"/>
        <v>自动带出</v>
      </c>
      <c r="D76" s="17" t="str">
        <f>IF($A76="","",IFERROR(INDEX(配置数据库!$B:$B,MATCH(34,$Q:$Q,0)),""))</f>
        <v/>
      </c>
      <c r="E76" t="str">
        <f>IF($A76="","",IFERROR(INDEX(配置数据库!$G:$AG,MATCH($A76,配置数据库!$A:$A,0),MATCH($B$3,配置数据库!$G$8:$AG$8,0)),""))</f>
        <v>X</v>
      </c>
      <c r="F76" t="str">
        <f t="shared" si="12"/>
        <v/>
      </c>
      <c r="G76" t="str">
        <f t="shared" si="13"/>
        <v/>
      </c>
      <c r="H76" t="str">
        <f t="shared" si="14"/>
        <v/>
      </c>
      <c r="I76" t="str">
        <f t="shared" si="15"/>
        <v/>
      </c>
      <c r="J76" t="str">
        <f t="shared" si="16"/>
        <v/>
      </c>
      <c r="K76" t="str">
        <f t="shared" si="17"/>
        <v/>
      </c>
      <c r="L76" t="str">
        <f t="shared" si="18"/>
        <v/>
      </c>
      <c r="M76" t="str">
        <f t="shared" si="19"/>
        <v/>
      </c>
      <c r="N76" t="str">
        <f t="shared" si="20"/>
        <v/>
      </c>
      <c r="O76" t="str">
        <f t="shared" si="21"/>
        <v/>
      </c>
      <c r="P76" t="e">
        <f>IF(AND(配置数据库!#REF!="售前填写",INDEX(配置数据库!#REF!,1,MATCH($B$3,配置数据库!$G$8:$AG$8,0))&lt;&gt;""),SUMPRODUCT((配置数据库!$C$10:$C103="售前填写")*(INDEX(配置数据库!$G$10:$AG103,0,MATCH($B$3,配置数据库!$G$8:$AG$8,0))&lt;&gt;"")),"")</f>
        <v>#REF!</v>
      </c>
      <c r="Q76" t="e">
        <f>IF(AND(配置数据库!#REF!="默认配置",INDEX(配置数据库!#REF!,1,MATCH($B$3,配置数据库!$G$8:$AG$8,0))&lt;&gt;""),SUMPRODUCT((配置数据库!$C$10:$C103="默认配置")*(INDEX(配置数据库!$G$10:$AG103,0,MATCH($B$3,配置数据库!$G$8:$AG$8,0))&lt;&gt;"")),"")</f>
        <v>#REF!</v>
      </c>
    </row>
    <row r="77" ht="28" customHeight="1" spans="1:17">
      <c r="A77" s="17" t="str">
        <f>IFERROR(INDEX(配置数据库!$A:$A,MATCH(35,$Q:$Q,0)),"")</f>
        <v>门架居中后下方雷达（横放）</v>
      </c>
      <c r="B77" s="21" t="str">
        <f>IF($A77="","",IFERROR(LEFT(SUBSTITUTE(IFERROR(INDEX(配置数据库!$G:$AG,MATCH(35,$Q:$Q,0),MATCH($B$3,配置数据库!$G$8:$AG$8,0)),""),";","；"),FIND("；",SUBSTITUTE(IFERROR(INDEX(配置数据库!$G:$AG,MATCH(35,$Q:$Q,0),MATCH($B$3,配置数据库!$G$8:$AG$8,0)),""),";","；"))-1),IFERROR(INDEX(配置数据库!$G:$AG,MATCH(35,$Q:$Q,0),MATCH($B$3,配置数据库!$G$8:$AG$8,0)),"")))</f>
        <v>X</v>
      </c>
      <c r="C77" s="17" t="str">
        <f t="shared" si="11"/>
        <v>自动带出</v>
      </c>
      <c r="D77" s="17" t="str">
        <f>IF($A77="","",IFERROR(INDEX(配置数据库!$B:$B,MATCH(35,$Q:$Q,0)),""))</f>
        <v/>
      </c>
      <c r="E77" t="str">
        <f>IF($A77="","",IFERROR(INDEX(配置数据库!$G:$AG,MATCH($A77,配置数据库!$A:$A,0),MATCH($B$3,配置数据库!$G$8:$AG$8,0)),""))</f>
        <v>X</v>
      </c>
      <c r="F77" t="str">
        <f t="shared" si="12"/>
        <v/>
      </c>
      <c r="G77" t="str">
        <f t="shared" si="13"/>
        <v/>
      </c>
      <c r="H77" t="str">
        <f t="shared" si="14"/>
        <v/>
      </c>
      <c r="I77" t="str">
        <f t="shared" si="15"/>
        <v/>
      </c>
      <c r="J77" t="str">
        <f t="shared" si="16"/>
        <v/>
      </c>
      <c r="K77" t="str">
        <f t="shared" si="17"/>
        <v/>
      </c>
      <c r="L77" t="str">
        <f t="shared" si="18"/>
        <v/>
      </c>
      <c r="M77" t="str">
        <f t="shared" si="19"/>
        <v/>
      </c>
      <c r="N77" t="str">
        <f t="shared" si="20"/>
        <v/>
      </c>
      <c r="O77" t="str">
        <f t="shared" si="21"/>
        <v/>
      </c>
      <c r="P77" t="e">
        <f>IF(AND(配置数据库!#REF!="售前填写",INDEX(配置数据库!#REF!,1,MATCH($B$3,配置数据库!$G$8:$AG$8,0))&lt;&gt;""),SUMPRODUCT((配置数据库!$C$10:$C103="售前填写")*(INDEX(配置数据库!$G$10:$AG103,0,MATCH($B$3,配置数据库!$G$8:$AG$8,0))&lt;&gt;"")),"")</f>
        <v>#REF!</v>
      </c>
      <c r="Q77" t="e">
        <f>IF(AND(配置数据库!#REF!="默认配置",INDEX(配置数据库!#REF!,1,MATCH($B$3,配置数据库!$G$8:$AG$8,0))&lt;&gt;""),SUMPRODUCT((配置数据库!$C$10:$C103="默认配置")*(INDEX(配置数据库!$G$10:$AG103,0,MATCH($B$3,配置数据库!$G$8:$AG$8,0))&lt;&gt;"")),"")</f>
        <v>#REF!</v>
      </c>
    </row>
    <row r="78" ht="28" customHeight="1" spans="1:17">
      <c r="A78" s="17" t="str">
        <f>IFERROR(INDEX(配置数据库!$A:$A,MATCH(36,$Q:$Q,0)),"")</f>
        <v>拉绳编码器</v>
      </c>
      <c r="B78" s="21" t="str">
        <f>IF($A78="","",IFERROR(LEFT(SUBSTITUTE(IFERROR(INDEX(配置数据库!$G:$AG,MATCH(36,$Q:$Q,0),MATCH($B$3,配置数据库!$G$8:$AG$8,0)),""),";","；"),FIND("；",SUBSTITUTE(IFERROR(INDEX(配置数据库!$G:$AG,MATCH(36,$Q:$Q,0),MATCH($B$3,配置数据库!$G$8:$AG$8,0)),""),";","；"))-1),IFERROR(INDEX(配置数据库!$G:$AG,MATCH(36,$Q:$Q,0),MATCH($B$3,配置数据库!$G$8:$AG$8,0)),"")))</f>
        <v>X</v>
      </c>
      <c r="C78" s="17" t="str">
        <f t="shared" si="11"/>
        <v>自动带出</v>
      </c>
      <c r="D78" s="17" t="str">
        <f>IF($A78="","",IFERROR(INDEX(配置数据库!$B:$B,MATCH(36,$Q:$Q,0)),""))</f>
        <v/>
      </c>
      <c r="E78" t="str">
        <f>IF($A78="","",IFERROR(INDEX(配置数据库!$G:$AG,MATCH($A78,配置数据库!$A:$A,0),MATCH($B$3,配置数据库!$G$8:$AG$8,0)),""))</f>
        <v>X</v>
      </c>
      <c r="F78" t="str">
        <f t="shared" si="12"/>
        <v/>
      </c>
      <c r="G78" t="str">
        <f t="shared" si="13"/>
        <v/>
      </c>
      <c r="H78" t="str">
        <f t="shared" si="14"/>
        <v/>
      </c>
      <c r="I78" t="str">
        <f t="shared" si="15"/>
        <v/>
      </c>
      <c r="J78" t="str">
        <f t="shared" si="16"/>
        <v/>
      </c>
      <c r="K78" t="str">
        <f t="shared" si="17"/>
        <v/>
      </c>
      <c r="L78" t="str">
        <f t="shared" si="18"/>
        <v/>
      </c>
      <c r="M78" t="str">
        <f t="shared" si="19"/>
        <v/>
      </c>
      <c r="N78" t="str">
        <f t="shared" si="20"/>
        <v/>
      </c>
      <c r="O78" t="str">
        <f t="shared" si="21"/>
        <v/>
      </c>
      <c r="P78" t="e">
        <f>IF(AND(配置数据库!#REF!="售前填写",INDEX(配置数据库!#REF!,1,MATCH($B$3,配置数据库!$G$8:$AG$8,0))&lt;&gt;""),SUMPRODUCT((配置数据库!$C$10:$C103="售前填写")*(INDEX(配置数据库!$G$10:$AG103,0,MATCH($B$3,配置数据库!$G$8:$AG$8,0))&lt;&gt;"")),"")</f>
        <v>#REF!</v>
      </c>
      <c r="Q78" t="e">
        <f>IF(AND(配置数据库!#REF!="默认配置",INDEX(配置数据库!#REF!,1,MATCH($B$3,配置数据库!$G$8:$AG$8,0))&lt;&gt;""),SUMPRODUCT((配置数据库!$C$10:$C103="默认配置")*(INDEX(配置数据库!$G$10:$AG103,0,MATCH($B$3,配置数据库!$G$8:$AG$8,0))&lt;&gt;"")),"")</f>
        <v>#REF!</v>
      </c>
    </row>
    <row r="79" ht="28" customHeight="1" spans="1:17">
      <c r="A79" s="17" t="str">
        <f>IFERROR(INDEX(配置数据库!$A:$A,MATCH(37,$Q:$Q,0)),"")</f>
        <v>TSA模组</v>
      </c>
      <c r="B79" s="21" t="str">
        <f>IF($A79="","",IFERROR(LEFT(SUBSTITUTE(IFERROR(INDEX(配置数据库!$G:$AG,MATCH(37,$Q:$Q,0),MATCH($B$3,配置数据库!$G$8:$AG$8,0)),""),";","；"),FIND("；",SUBSTITUTE(IFERROR(INDEX(配置数据库!$G:$AG,MATCH(37,$Q:$Q,0),MATCH($B$3,配置数据库!$G$8:$AG$8,0)),""),";","；"))-1),IFERROR(INDEX(配置数据库!$G:$AG,MATCH(37,$Q:$Q,0),MATCH($B$3,配置数据库!$G$8:$AG$8,0)),"")))</f>
        <v>有（40060000347  览沃Mid-360S *2</v>
      </c>
      <c r="C79" s="17" t="str">
        <f t="shared" si="11"/>
        <v>自动带出</v>
      </c>
      <c r="D79" s="17" t="str">
        <f>IF($A79="","",IFERROR(INDEX(配置数据库!$B:$B,MATCH(37,$Q:$Q,0)),""))</f>
        <v/>
      </c>
      <c r="E79" t="str">
        <f>IF($A79="","",IFERROR(INDEX(配置数据库!$G:$AG,MATCH($A79,配置数据库!$A:$A,0),MATCH($B$3,配置数据库!$G$8:$AG$8,0)),""))</f>
        <v>有（40060000347  览沃Mid-360S *2；40051800008 翰普 001-0691-3.0+oks-6604 调备注焦距：60厘米 *4）</v>
      </c>
      <c r="F79" t="str">
        <f t="shared" si="12"/>
        <v>有（40060000347 览沃Mid-360S *2</v>
      </c>
      <c r="G79" t="str">
        <f t="shared" si="13"/>
        <v>40051800008 翰普 001-0691-3.0+oks-6604 调备注焦距：60厘米 *4）</v>
      </c>
      <c r="H79" t="str">
        <f t="shared" si="14"/>
        <v/>
      </c>
      <c r="I79" t="str">
        <f t="shared" si="15"/>
        <v/>
      </c>
      <c r="J79" t="str">
        <f t="shared" si="16"/>
        <v/>
      </c>
      <c r="K79" t="str">
        <f t="shared" si="17"/>
        <v/>
      </c>
      <c r="L79" t="str">
        <f t="shared" si="18"/>
        <v/>
      </c>
      <c r="M79" t="str">
        <f t="shared" si="19"/>
        <v/>
      </c>
      <c r="N79" t="str">
        <f t="shared" si="20"/>
        <v/>
      </c>
      <c r="O79" t="str">
        <f t="shared" si="21"/>
        <v/>
      </c>
      <c r="P79" t="e">
        <f>IF(AND(配置数据库!#REF!="售前填写",INDEX(配置数据库!#REF!,1,MATCH($B$3,配置数据库!$G$8:$AG$8,0))&lt;&gt;""),SUMPRODUCT((配置数据库!$C$10:$C103="售前填写")*(INDEX(配置数据库!$G$10:$AG103,0,MATCH($B$3,配置数据库!$G$8:$AG$8,0))&lt;&gt;"")),"")</f>
        <v>#REF!</v>
      </c>
      <c r="Q79" t="e">
        <f>IF(AND(配置数据库!#REF!="默认配置",INDEX(配置数据库!#REF!,1,MATCH($B$3,配置数据库!$G$8:$AG$8,0))&lt;&gt;""),SUMPRODUCT((配置数据库!$C$10:$C103="默认配置")*(INDEX(配置数据库!$G$10:$AG103,0,MATCH($B$3,配置数据库!$G$8:$AG$8,0))&lt;&gt;"")),"")</f>
        <v>#REF!</v>
      </c>
    </row>
    <row r="80" ht="28" customHeight="1" spans="1:17">
      <c r="A80" s="17" t="str">
        <f>IFERROR(INDEX(配置数据库!$A:$A,MATCH(38,$Q:$Q,0)),"")</f>
        <v>远程运维相机</v>
      </c>
      <c r="B80" s="21" t="str">
        <f>IF($A80="","",IFERROR(LEFT(SUBSTITUTE(IFERROR(INDEX(配置数据库!$G:$AG,MATCH(38,$Q:$Q,0),MATCH($B$3,配置数据库!$G$8:$AG$8,0)),""),";","；"),FIND("；",SUBSTITUTE(IFERROR(INDEX(配置数据库!$G:$AG,MATCH(38,$Q:$Q,0),MATCH($B$3,配置数据库!$G$8:$AG$8,0)),""),";","；"))-1),IFERROR(INDEX(配置数据库!$G:$AG,MATCH(38,$Q:$Q,0),MATCH($B$3,配置数据库!$G$8:$AG$8,0)),"")))</f>
        <v>TSA*4（上述已包含） + 门架中间*1（40000010003 翰普相机 翰普相机-USB接口-03.0691.0381-视角FOV ：D= 120°）</v>
      </c>
      <c r="C80" s="17" t="str">
        <f t="shared" si="11"/>
        <v>自动带出</v>
      </c>
      <c r="D80" s="17" t="str">
        <f>IF($A80="","",IFERROR(INDEX(配置数据库!$B:$B,MATCH(38,$Q:$Q,0)),""))</f>
        <v/>
      </c>
      <c r="E80" t="str">
        <f>IF($A80="","",IFERROR(INDEX(配置数据库!$G:$AG,MATCH($A80,配置数据库!$A:$A,0),MATCH($B$3,配置数据库!$G$8:$AG$8,0)),""))</f>
        <v>TSA*4（上述已包含） + 门架中间*1（40000010003 翰普相机 翰普相机-USB接口-03.0691.0381-视角FOV ：D= 120°）</v>
      </c>
      <c r="F80" t="str">
        <f t="shared" si="12"/>
        <v/>
      </c>
      <c r="G80" t="str">
        <f t="shared" si="13"/>
        <v/>
      </c>
      <c r="H80" t="str">
        <f t="shared" si="14"/>
        <v/>
      </c>
      <c r="I80" t="str">
        <f t="shared" si="15"/>
        <v/>
      </c>
      <c r="J80" t="str">
        <f t="shared" si="16"/>
        <v/>
      </c>
      <c r="K80" t="str">
        <f t="shared" si="17"/>
        <v/>
      </c>
      <c r="L80" t="str">
        <f t="shared" si="18"/>
        <v/>
      </c>
      <c r="M80" t="str">
        <f t="shared" si="19"/>
        <v/>
      </c>
      <c r="N80" t="str">
        <f t="shared" si="20"/>
        <v/>
      </c>
      <c r="O80" t="str">
        <f t="shared" si="21"/>
        <v/>
      </c>
      <c r="P80" t="str">
        <f>IF(AND(配置数据库!$C29="售前填写",INDEX(配置数据库!$G29:$AG29,1,MATCH($B$3,配置数据库!$G$8:$AG$8,0))&lt;&gt;""),SUMPRODUCT((配置数据库!$C$10:$C103="售前填写")*(INDEX(配置数据库!$G$10:$AG103,0,MATCH($B$3,配置数据库!$G$8:$AG$8,0))&lt;&gt;"")),"")</f>
        <v/>
      </c>
      <c r="Q80" t="str">
        <f>IF(AND(配置数据库!$C29="默认配置",INDEX(配置数据库!$G29:$AG29,1,MATCH($B$3,配置数据库!$G$8:$AG$8,0))&lt;&gt;""),SUMPRODUCT((配置数据库!$C$10:$C103="默认配置")*(INDEX(配置数据库!$G$10:$AG103,0,MATCH($B$3,配置数据库!$G$8:$AG$8,0))&lt;&gt;"")),"")</f>
        <v/>
      </c>
    </row>
    <row r="81" ht="28" customHeight="1" spans="1:17">
      <c r="A81" s="17" t="str">
        <f>IFERROR(INDEX(配置数据库!$A:$A,MATCH(39,$Q:$Q,0)),"")</f>
        <v>货物相对检测相机</v>
      </c>
      <c r="B81" s="21" t="str">
        <f>IF($A81="","",IFERROR(LEFT(SUBSTITUTE(IFERROR(INDEX(配置数据库!$G:$AG,MATCH(39,$Q:$Q,0),MATCH($B$3,配置数据库!$G$8:$AG$8,0)),""),";","；"),FIND("；",SUBSTITUTE(IFERROR(INDEX(配置数据库!$G:$AG,MATCH(39,$Q:$Q,0),MATCH($B$3,配置数据库!$G$8:$AG$8,0)),""),";","；"))-1),IFERROR(INDEX(配置数据库!$G:$AG,MATCH(39,$Q:$Q,0),MATCH($B$3,配置数据库!$G$8:$AG$8,0)),"")))</f>
        <v>40000010003 翰普相机 翰普相机-USB接口-03.0691.0381-视角FOV ：D= 120° </v>
      </c>
      <c r="C81" s="17" t="str">
        <f t="shared" si="11"/>
        <v>自动带出</v>
      </c>
      <c r="D81" s="17" t="str">
        <f>IF($A81="","",IFERROR(INDEX(配置数据库!$B:$B,MATCH(39,$Q:$Q,0)),""))</f>
        <v/>
      </c>
      <c r="E81" t="str">
        <f>IF($A81="","",IFERROR(INDEX(配置数据库!$G:$AG,MATCH($A81,配置数据库!$A:$A,0),MATCH($B$3,配置数据库!$G$8:$AG$8,0)),""))</f>
        <v>40000010003 翰普相机 翰普相机-USB接口-03.0691.0381-视角FOV ：D= 120° </v>
      </c>
      <c r="F81" t="str">
        <f t="shared" si="12"/>
        <v/>
      </c>
      <c r="G81" t="str">
        <f t="shared" si="13"/>
        <v/>
      </c>
      <c r="H81" t="str">
        <f t="shared" si="14"/>
        <v/>
      </c>
      <c r="I81" t="str">
        <f t="shared" si="15"/>
        <v/>
      </c>
      <c r="J81" t="str">
        <f t="shared" si="16"/>
        <v/>
      </c>
      <c r="K81" t="str">
        <f t="shared" si="17"/>
        <v/>
      </c>
      <c r="L81" t="str">
        <f t="shared" si="18"/>
        <v/>
      </c>
      <c r="M81" t="str">
        <f t="shared" si="19"/>
        <v/>
      </c>
      <c r="N81" t="str">
        <f t="shared" si="20"/>
        <v/>
      </c>
      <c r="O81" t="str">
        <f t="shared" si="21"/>
        <v/>
      </c>
      <c r="P81" t="e">
        <f>IF(AND(配置数据库!#REF!="售前填写",INDEX(配置数据库!#REF!,1,MATCH($B$3,配置数据库!$G$8:$AG$8,0))&lt;&gt;""),SUMPRODUCT((配置数据库!$C$10:$C103="售前填写")*(INDEX(配置数据库!$G$10:$AG103,0,MATCH($B$3,配置数据库!$G$8:$AG$8,0))&lt;&gt;"")),"")</f>
        <v>#REF!</v>
      </c>
      <c r="Q81" t="e">
        <f>IF(AND(配置数据库!#REF!="默认配置",INDEX(配置数据库!#REF!,1,MATCH($B$3,配置数据库!$G$8:$AG$8,0))&lt;&gt;""),SUMPRODUCT((配置数据库!$C$10:$C103="默认配置")*(INDEX(配置数据库!$G$10:$AG103,0,MATCH($B$3,配置数据库!$G$8:$AG$8,0))&lt;&gt;"")),"")</f>
        <v>#REF!</v>
      </c>
    </row>
    <row r="82" ht="28" customHeight="1" spans="1:17">
      <c r="A82" s="17" t="str">
        <f>IFERROR(INDEX(配置数据库!$A:$A,MATCH(40,$Q:$Q,0)),"")</f>
        <v>托盘到位检测开关</v>
      </c>
      <c r="B82" s="21" t="str">
        <f>IF($A82="","",IFERROR(LEFT(SUBSTITUTE(IFERROR(INDEX(配置数据库!$G:$AG,MATCH(40,$Q:$Q,0),MATCH($B$3,配置数据库!$G$8:$AG$8,0)),""),";","；"),FIND("；",SUBSTITUTE(IFERROR(INDEX(配置数据库!$G:$AG,MATCH(40,$Q:$Q,0),MATCH($B$3,配置数据库!$G$8:$AG$8,0)),""),";","；"))-1),IFERROR(INDEX(配置数据库!$G:$AG,MATCH(40,$Q:$Q,0),MATCH($B$3,配置数据库!$G$8:$AG$8,0)),"")))</f>
        <v>有</v>
      </c>
      <c r="C82" s="17" t="str">
        <f t="shared" si="11"/>
        <v>自动带出</v>
      </c>
      <c r="D82" s="17" t="str">
        <f>IF($A82="","",IFERROR(INDEX(配置数据库!$B:$B,MATCH(40,$Q:$Q,0)),""))</f>
        <v/>
      </c>
      <c r="E82" t="str">
        <f>IF($A82="","",IFERROR(INDEX(配置数据库!$G:$AG,MATCH($A82,配置数据库!$A:$A,0),MATCH($B$3,配置数据库!$G$8:$AG$8,0)),""))</f>
        <v>有</v>
      </c>
      <c r="F82" t="str">
        <f t="shared" si="12"/>
        <v/>
      </c>
      <c r="G82" t="str">
        <f t="shared" si="13"/>
        <v/>
      </c>
      <c r="H82" t="str">
        <f t="shared" si="14"/>
        <v/>
      </c>
      <c r="I82" t="str">
        <f t="shared" si="15"/>
        <v/>
      </c>
      <c r="J82" t="str">
        <f t="shared" si="16"/>
        <v/>
      </c>
      <c r="K82" t="str">
        <f t="shared" si="17"/>
        <v/>
      </c>
      <c r="L82" t="str">
        <f t="shared" si="18"/>
        <v/>
      </c>
      <c r="M82" t="str">
        <f t="shared" si="19"/>
        <v/>
      </c>
      <c r="N82" t="str">
        <f t="shared" si="20"/>
        <v/>
      </c>
      <c r="O82" t="str">
        <f t="shared" si="21"/>
        <v/>
      </c>
      <c r="P82" t="str">
        <f>IF(AND(配置数据库!$C104="售前填写",INDEX(配置数据库!$G104:$AG104,1,MATCH($B$3,配置数据库!$G$8:$AG$8,0))&lt;&gt;""),SUMPRODUCT((配置数据库!$C$10:$C104="售前填写")*(INDEX(配置数据库!$G$10:$AG104,0,MATCH($B$3,配置数据库!$G$8:$AG$8,0))&lt;&gt;"")),"")</f>
        <v/>
      </c>
      <c r="Q82">
        <f>IF(AND(配置数据库!$C104="默认配置",INDEX(配置数据库!$G104:$AG104,1,MATCH($B$3,配置数据库!$G$8:$AG$8,0))&lt;&gt;""),SUMPRODUCT((配置数据库!$C$10:$C104="默认配置")*(INDEX(配置数据库!$G$10:$AG104,0,MATCH($B$3,配置数据库!$G$8:$AG$8,0))&lt;&gt;"")),"")</f>
        <v>36</v>
      </c>
    </row>
    <row r="83" ht="28" customHeight="1" spans="1:17">
      <c r="A83" s="17" t="str">
        <f>IFERROR(INDEX(配置数据库!$A:$A,MATCH(41,$Q:$Q,0)),"")</f>
        <v>托盘高位检测开关</v>
      </c>
      <c r="B83" s="21" t="str">
        <f>IF($A83="","",IFERROR(LEFT(SUBSTITUTE(IFERROR(INDEX(配置数据库!$G:$AG,MATCH(41,$Q:$Q,0),MATCH($B$3,配置数据库!$G$8:$AG$8,0)),""),";","；"),FIND("；",SUBSTITUTE(IFERROR(INDEX(配置数据库!$G:$AG,MATCH(41,$Q:$Q,0),MATCH($B$3,配置数据库!$G$8:$AG$8,0)),""),";","；"))-1),IFERROR(INDEX(配置数据库!$G:$AG,MATCH(41,$Q:$Q,0),MATCH($B$3,配置数据库!$G$8:$AG$8,0)),"")))</f>
        <v>X</v>
      </c>
      <c r="C83" s="17" t="str">
        <f t="shared" si="11"/>
        <v>自动带出</v>
      </c>
      <c r="D83" s="17" t="str">
        <f>IF($A83="","",IFERROR(INDEX(配置数据库!$B:$B,MATCH(41,$Q:$Q,0)),""))</f>
        <v/>
      </c>
      <c r="E83" t="str">
        <f>IF($A83="","",IFERROR(INDEX(配置数据库!$G:$AG,MATCH($A83,配置数据库!$A:$A,0),MATCH($B$3,配置数据库!$G$8:$AG$8,0)),""))</f>
        <v>X</v>
      </c>
      <c r="F83" t="str">
        <f t="shared" si="12"/>
        <v/>
      </c>
      <c r="G83" t="str">
        <f t="shared" si="13"/>
        <v/>
      </c>
      <c r="H83" t="str">
        <f t="shared" si="14"/>
        <v/>
      </c>
      <c r="I83" t="str">
        <f t="shared" si="15"/>
        <v/>
      </c>
      <c r="J83" t="str">
        <f t="shared" si="16"/>
        <v/>
      </c>
      <c r="K83" t="str">
        <f t="shared" si="17"/>
        <v/>
      </c>
      <c r="L83" t="str">
        <f t="shared" si="18"/>
        <v/>
      </c>
      <c r="M83" t="str">
        <f t="shared" si="19"/>
        <v/>
      </c>
      <c r="N83" t="str">
        <f t="shared" si="20"/>
        <v/>
      </c>
      <c r="O83" t="str">
        <f t="shared" si="21"/>
        <v/>
      </c>
      <c r="P83" t="str">
        <f>IF(AND(配置数据库!$C105="售前填写",INDEX(配置数据库!$G105:$AG105,1,MATCH($B$3,配置数据库!$G$8:$AG$8,0))&lt;&gt;""),SUMPRODUCT((配置数据库!$C$10:$C105="售前填写")*(INDEX(配置数据库!$G$10:$AG105,0,MATCH($B$3,配置数据库!$G$8:$AG$8,0))&lt;&gt;"")),"")</f>
        <v/>
      </c>
      <c r="Q83">
        <f>IF(AND(配置数据库!$C105="默认配置",INDEX(配置数据库!$G105:$AG105,1,MATCH($B$3,配置数据库!$G$8:$AG$8,0))&lt;&gt;""),SUMPRODUCT((配置数据库!$C$10:$C105="默认配置")*(INDEX(配置数据库!$G$10:$AG105,0,MATCH($B$3,配置数据库!$G$8:$AG$8,0))&lt;&gt;"")),"")</f>
        <v>37</v>
      </c>
    </row>
    <row r="84" ht="28" customHeight="1" spans="1:17">
      <c r="A84" s="17" t="str">
        <f>IFERROR(INDEX(配置数据库!$A:$A,MATCH(42,$Q:$Q,0)),"")</f>
        <v>叉齿尖传感器（非雷达）</v>
      </c>
      <c r="B84" s="21" t="str">
        <f>IF($A84="","",IFERROR(LEFT(SUBSTITUTE(IFERROR(INDEX(配置数据库!$G:$AG,MATCH(42,$Q:$Q,0),MATCH($B$3,配置数据库!$G$8:$AG$8,0)),""),";","；"),FIND("；",SUBSTITUTE(IFERROR(INDEX(配置数据库!$G:$AG,MATCH(42,$Q:$Q,0),MATCH($B$3,配置数据库!$G$8:$AG$8,0)),""),";","；"))-1),IFERROR(INDEX(配置数据库!$G:$AG,MATCH(42,$Q:$Q,0),MATCH($B$3,配置数据库!$G$8:$AG$8,0)),"")))</f>
        <v>2，机械式
2颗蓝海雷达</v>
      </c>
      <c r="C84" s="17" t="str">
        <f t="shared" si="11"/>
        <v>自动带出</v>
      </c>
      <c r="D84" s="17" t="str">
        <f>IF($A84="","",IFERROR(INDEX(配置数据库!$B:$B,MATCH(42,$Q:$Q,0)),""))</f>
        <v/>
      </c>
      <c r="E84" t="str">
        <f>IF($A84="","",IFERROR(INDEX(配置数据库!$G:$AG,MATCH($A84,配置数据库!$A:$A,0),MATCH($B$3,配置数据库!$G$8:$AG$8,0)),""))</f>
        <v>2，机械式
2颗蓝海雷达</v>
      </c>
      <c r="F84" t="str">
        <f t="shared" si="12"/>
        <v/>
      </c>
      <c r="G84" t="str">
        <f t="shared" si="13"/>
        <v/>
      </c>
      <c r="H84" t="str">
        <f t="shared" si="14"/>
        <v/>
      </c>
      <c r="I84" t="str">
        <f t="shared" si="15"/>
        <v/>
      </c>
      <c r="J84" t="str">
        <f t="shared" si="16"/>
        <v/>
      </c>
      <c r="K84" t="str">
        <f t="shared" si="17"/>
        <v/>
      </c>
      <c r="L84" t="str">
        <f t="shared" si="18"/>
        <v/>
      </c>
      <c r="M84" t="str">
        <f t="shared" si="19"/>
        <v/>
      </c>
      <c r="N84" t="str">
        <f t="shared" si="20"/>
        <v/>
      </c>
      <c r="O84" t="str">
        <f t="shared" si="21"/>
        <v/>
      </c>
      <c r="P84" t="str">
        <f>IF(AND(配置数据库!$C106="售前填写",INDEX(配置数据库!$G106:$AG106,1,MATCH($B$3,配置数据库!$G$8:$AG$8,0))&lt;&gt;""),SUMPRODUCT((配置数据库!$C$10:$C106="售前填写")*(INDEX(配置数据库!$G$10:$AG106,0,MATCH($B$3,配置数据库!$G$8:$AG$8,0))&lt;&gt;"")),"")</f>
        <v/>
      </c>
      <c r="Q84">
        <f>IF(AND(配置数据库!$C106="默认配置",INDEX(配置数据库!$G106:$AG106,1,MATCH($B$3,配置数据库!$G$8:$AG$8,0))&lt;&gt;""),SUMPRODUCT((配置数据库!$C$10:$C106="默认配置")*(INDEX(配置数据库!$G$10:$AG106,0,MATCH($B$3,配置数据库!$G$8:$AG$8,0))&lt;&gt;"")),"")</f>
        <v>38</v>
      </c>
    </row>
    <row r="85" ht="28" customHeight="1" spans="1:17">
      <c r="A85" s="17" t="str">
        <f>IFERROR(INDEX(配置数据库!$A:$A,MATCH(43,$Q:$Q,0)),"")</f>
        <v>屏幕</v>
      </c>
      <c r="B85" s="21" t="str">
        <f>IF($A85="","",IFERROR(LEFT(SUBSTITUTE(IFERROR(INDEX(配置数据库!$G:$AG,MATCH(43,$Q:$Q,0),MATCH($B$3,配置数据库!$G$8:$AG$8,0)),""),";","；"),FIND("；",SUBSTITUTE(IFERROR(INDEX(配置数据库!$G:$AG,MATCH(43,$Q:$Q,0),MATCH($B$3,配置数据库!$G$8:$AG$8,0)),""),";","；"))-1),IFERROR(INDEX(配置数据库!$G:$AG,MATCH(43,$Q:$Q,0),MATCH($B$3,配置数据库!$G$8:$AG$8,0)),"")))</f>
        <v>400210245-01 10.1寸安卓一体机</v>
      </c>
      <c r="C85" s="17" t="str">
        <f t="shared" si="11"/>
        <v>自动带出</v>
      </c>
      <c r="D85" s="17" t="str">
        <f>IF($A85="","",IFERROR(INDEX(配置数据库!$B:$B,MATCH(43,$Q:$Q,0)),""))</f>
        <v/>
      </c>
      <c r="E85" t="str">
        <f>IF($A85="","",IFERROR(INDEX(配置数据库!$G:$AG,MATCH($A85,配置数据库!$A:$A,0),MATCH($B$3,配置数据库!$G$8:$AG$8,0)),""))</f>
        <v>400210245-01 10.1寸安卓一体机</v>
      </c>
      <c r="F85" t="str">
        <f t="shared" si="12"/>
        <v/>
      </c>
      <c r="G85" t="str">
        <f t="shared" si="13"/>
        <v/>
      </c>
      <c r="H85" t="str">
        <f t="shared" si="14"/>
        <v/>
      </c>
      <c r="I85" t="str">
        <f t="shared" si="15"/>
        <v/>
      </c>
      <c r="J85" t="str">
        <f t="shared" si="16"/>
        <v/>
      </c>
      <c r="K85" t="str">
        <f t="shared" si="17"/>
        <v/>
      </c>
      <c r="L85" t="str">
        <f t="shared" si="18"/>
        <v/>
      </c>
      <c r="M85" t="str">
        <f t="shared" si="19"/>
        <v/>
      </c>
      <c r="N85" t="str">
        <f t="shared" si="20"/>
        <v/>
      </c>
      <c r="O85" t="str">
        <f t="shared" si="21"/>
        <v/>
      </c>
      <c r="P85" t="str">
        <f>IF(AND(配置数据库!$C107="售前填写",INDEX(配置数据库!$G107:$AG107,1,MATCH($B$3,配置数据库!$G$8:$AG$8,0))&lt;&gt;""),SUMPRODUCT((配置数据库!$C$10:$C107="售前填写")*(INDEX(配置数据库!$G$10:$AG107,0,MATCH($B$3,配置数据库!$G$8:$AG$8,0))&lt;&gt;"")),"")</f>
        <v/>
      </c>
      <c r="Q85">
        <f>IF(AND(配置数据库!$C107="默认配置",INDEX(配置数据库!$G107:$AG107,1,MATCH($B$3,配置数据库!$G$8:$AG$8,0))&lt;&gt;""),SUMPRODUCT((配置数据库!$C$10:$C107="默认配置")*(INDEX(配置数据库!$G$10:$AG107,0,MATCH($B$3,配置数据库!$G$8:$AG$8,0))&lt;&gt;"")),"")</f>
        <v>39</v>
      </c>
    </row>
    <row r="86" ht="28" customHeight="1" spans="1:17">
      <c r="A86" s="17" t="str">
        <f>IFERROR(INDEX(配置数据库!$A:$A,MATCH(44,$Q:$Q,0)),"")</f>
        <v>急停按钮</v>
      </c>
      <c r="B86" s="21" t="str">
        <f>IF($A86="","",IFERROR(LEFT(SUBSTITUTE(IFERROR(INDEX(配置数据库!$G:$AG,MATCH(44,$Q:$Q,0),MATCH($B$3,配置数据库!$G$8:$AG$8,0)),""),";","；"),FIND("；",SUBSTITUTE(IFERROR(INDEX(配置数据库!$G:$AG,MATCH(44,$Q:$Q,0),MATCH($B$3,配置数据库!$G$8:$AG$8,0)),""),";","；"))-1),IFERROR(INDEX(配置数据库!$G:$AG,MATCH(44,$Q:$Q,0),MATCH($B$3,配置数据库!$G$8:$AG$8,0)),"")))</f>
        <v>2个</v>
      </c>
      <c r="C86" s="17" t="str">
        <f t="shared" si="11"/>
        <v>自动带出</v>
      </c>
      <c r="D86" s="17" t="str">
        <f>IF($A86="","",IFERROR(INDEX(配置数据库!$B:$B,MATCH(44,$Q:$Q,0)),""))</f>
        <v/>
      </c>
      <c r="E86" t="str">
        <f>IF($A86="","",IFERROR(INDEX(配置数据库!$G:$AG,MATCH($A86,配置数据库!$A:$A,0),MATCH($B$3,配置数据库!$G$8:$AG$8,0)),""))</f>
        <v>2个</v>
      </c>
      <c r="F86" t="str">
        <f t="shared" si="12"/>
        <v/>
      </c>
      <c r="G86" t="str">
        <f t="shared" si="13"/>
        <v/>
      </c>
      <c r="H86" t="str">
        <f t="shared" si="14"/>
        <v/>
      </c>
      <c r="I86" t="str">
        <f t="shared" si="15"/>
        <v/>
      </c>
      <c r="J86" t="str">
        <f t="shared" si="16"/>
        <v/>
      </c>
      <c r="K86" t="str">
        <f t="shared" si="17"/>
        <v/>
      </c>
      <c r="L86" t="str">
        <f t="shared" si="18"/>
        <v/>
      </c>
      <c r="M86" t="str">
        <f t="shared" si="19"/>
        <v/>
      </c>
      <c r="N86" t="str">
        <f t="shared" si="20"/>
        <v/>
      </c>
      <c r="O86" t="str">
        <f t="shared" si="21"/>
        <v/>
      </c>
      <c r="P86" t="str">
        <f>IF(AND(配置数据库!$C108="售前填写",INDEX(配置数据库!$G108:$AG108,1,MATCH($B$3,配置数据库!$G$8:$AG$8,0))&lt;&gt;""),SUMPRODUCT((配置数据库!$C$10:$C108="售前填写")*(INDEX(配置数据库!$G$10:$AG108,0,MATCH($B$3,配置数据库!$G$8:$AG$8,0))&lt;&gt;"")),"")</f>
        <v/>
      </c>
      <c r="Q86">
        <f>IF(AND(配置数据库!$C108="默认配置",INDEX(配置数据库!$G108:$AG108,1,MATCH($B$3,配置数据库!$G$8:$AG$8,0))&lt;&gt;""),SUMPRODUCT((配置数据库!$C$10:$C108="默认配置")*(INDEX(配置数据库!$G$10:$AG108,0,MATCH($B$3,配置数据库!$G$8:$AG$8,0))&lt;&gt;"")),"")</f>
        <v>40</v>
      </c>
    </row>
    <row r="87" ht="28" customHeight="1" spans="1:17">
      <c r="A87" s="17" t="str">
        <f>IFERROR(INDEX(配置数据库!$A:$A,MATCH(45,$Q:$Q,0)),"")</f>
        <v/>
      </c>
      <c r="B87" s="21" t="str">
        <f>IF($A87="","",IFERROR(LEFT(SUBSTITUTE(IFERROR(INDEX(配置数据库!$G:$AG,MATCH(45,$Q:$Q,0),MATCH($B$3,配置数据库!$G$8:$AG$8,0)),""),";","；"),FIND("；",SUBSTITUTE(IFERROR(INDEX(配置数据库!$G:$AG,MATCH(45,$Q:$Q,0),MATCH($B$3,配置数据库!$G$8:$AG$8,0)),""),";","；"))-1),IFERROR(INDEX(配置数据库!$G:$AG,MATCH(45,$Q:$Q,0),MATCH($B$3,配置数据库!$G$8:$AG$8,0)),"")))</f>
        <v/>
      </c>
      <c r="C87" s="17" t="str">
        <f t="shared" si="11"/>
        <v/>
      </c>
      <c r="D87" s="17" t="str">
        <f>IF($A87="","",IFERROR(INDEX(配置数据库!$B:$B,MATCH(45,$Q:$Q,0)),""))</f>
        <v/>
      </c>
      <c r="E87" t="str">
        <f>IF($A87="","",IFERROR(INDEX(配置数据库!$G:$AG,MATCH($A87,配置数据库!$A:$A,0),MATCH($B$3,配置数据库!$G$8:$AG$8,0)),""))</f>
        <v/>
      </c>
      <c r="F87" t="str">
        <f t="shared" si="12"/>
        <v/>
      </c>
      <c r="G87" t="str">
        <f t="shared" si="13"/>
        <v/>
      </c>
      <c r="H87" t="str">
        <f t="shared" si="14"/>
        <v/>
      </c>
      <c r="I87" t="str">
        <f t="shared" si="15"/>
        <v/>
      </c>
      <c r="J87" t="str">
        <f t="shared" si="16"/>
        <v/>
      </c>
      <c r="K87" t="str">
        <f t="shared" si="17"/>
        <v/>
      </c>
      <c r="L87" t="str">
        <f t="shared" si="18"/>
        <v/>
      </c>
      <c r="M87" t="str">
        <f t="shared" si="19"/>
        <v/>
      </c>
      <c r="N87" t="str">
        <f t="shared" si="20"/>
        <v/>
      </c>
      <c r="O87" t="str">
        <f t="shared" si="21"/>
        <v/>
      </c>
      <c r="P87" t="str">
        <f>IF(AND(配置数据库!$C109="售前填写",INDEX(配置数据库!$G109:$AG109,1,MATCH($B$3,配置数据库!$G$8:$AG$8,0))&lt;&gt;""),SUMPRODUCT((配置数据库!$C$10:$C109="售前填写")*(INDEX(配置数据库!$G$10:$AG109,0,MATCH($B$3,配置数据库!$G$8:$AG$8,0))&lt;&gt;"")),"")</f>
        <v/>
      </c>
      <c r="Q87">
        <f>IF(AND(配置数据库!$C109="默认配置",INDEX(配置数据库!$G109:$AG109,1,MATCH($B$3,配置数据库!$G$8:$AG$8,0))&lt;&gt;""),SUMPRODUCT((配置数据库!$C$10:$C109="默认配置")*(INDEX(配置数据库!$G$10:$AG109,0,MATCH($B$3,配置数据库!$G$8:$AG$8,0))&lt;&gt;"")),"")</f>
        <v>41</v>
      </c>
    </row>
    <row r="88" ht="28" customHeight="1" spans="1:17">
      <c r="A88" s="17" t="str">
        <f>IFERROR(INDEX(配置数据库!$A:$A,MATCH(46,$Q:$Q,0)),"")</f>
        <v/>
      </c>
      <c r="B88" s="21" t="str">
        <f>IF($A88="","",IFERROR(LEFT(SUBSTITUTE(IFERROR(INDEX(配置数据库!$G:$AG,MATCH(46,$Q:$Q,0),MATCH($B$3,配置数据库!$G$8:$AG$8,0)),""),";","；"),FIND("；",SUBSTITUTE(IFERROR(INDEX(配置数据库!$G:$AG,MATCH(46,$Q:$Q,0),MATCH($B$3,配置数据库!$G$8:$AG$8,0)),""),";","；"))-1),IFERROR(INDEX(配置数据库!$G:$AG,MATCH(46,$Q:$Q,0),MATCH($B$3,配置数据库!$G$8:$AG$8,0)),"")))</f>
        <v/>
      </c>
      <c r="C88" s="17" t="str">
        <f t="shared" si="11"/>
        <v/>
      </c>
      <c r="D88" s="17" t="str">
        <f>IF($A88="","",IFERROR(INDEX(配置数据库!$B:$B,MATCH(46,$Q:$Q,0)),""))</f>
        <v/>
      </c>
      <c r="E88" t="str">
        <f>IF($A88="","",IFERROR(INDEX(配置数据库!$G:$AG,MATCH($A88,配置数据库!$A:$A,0),MATCH($B$3,配置数据库!$G$8:$AG$8,0)),""))</f>
        <v/>
      </c>
      <c r="F88" t="str">
        <f t="shared" si="12"/>
        <v/>
      </c>
      <c r="G88" t="str">
        <f t="shared" si="13"/>
        <v/>
      </c>
      <c r="H88" t="str">
        <f t="shared" si="14"/>
        <v/>
      </c>
      <c r="I88" t="str">
        <f t="shared" si="15"/>
        <v/>
      </c>
      <c r="J88" t="str">
        <f t="shared" si="16"/>
        <v/>
      </c>
      <c r="K88" t="str">
        <f t="shared" si="17"/>
        <v/>
      </c>
      <c r="L88" t="str">
        <f t="shared" si="18"/>
        <v/>
      </c>
      <c r="M88" t="str">
        <f t="shared" si="19"/>
        <v/>
      </c>
      <c r="N88" t="str">
        <f t="shared" si="20"/>
        <v/>
      </c>
      <c r="O88" t="str">
        <f t="shared" si="21"/>
        <v/>
      </c>
      <c r="P88" t="str">
        <f>IF(AND(配置数据库!$C110="售前填写",INDEX(配置数据库!$G110:$AG110,1,MATCH($B$3,配置数据库!$G$8:$AG$8,0))&lt;&gt;""),SUMPRODUCT((配置数据库!$C$10:$C110="售前填写")*(INDEX(配置数据库!$G$10:$AG110,0,MATCH($B$3,配置数据库!$G$8:$AG$8,0))&lt;&gt;"")),"")</f>
        <v/>
      </c>
      <c r="Q88">
        <f>IF(AND(配置数据库!$C110="默认配置",INDEX(配置数据库!$G110:$AG110,1,MATCH($B$3,配置数据库!$G$8:$AG$8,0))&lt;&gt;""),SUMPRODUCT((配置数据库!$C$10:$C110="默认配置")*(INDEX(配置数据库!$G$10:$AG110,0,MATCH($B$3,配置数据库!$G$8:$AG$8,0))&lt;&gt;"")),"")</f>
        <v>42</v>
      </c>
    </row>
    <row r="89" ht="28" customHeight="1" spans="1:17">
      <c r="A89" s="17" t="str">
        <f>IFERROR(INDEX(配置数据库!$A:$A,MATCH(47,$Q:$Q,0)),"")</f>
        <v/>
      </c>
      <c r="B89" s="21" t="str">
        <f>IF($A89="","",IFERROR(LEFT(SUBSTITUTE(IFERROR(INDEX(配置数据库!$G:$AG,MATCH(47,$Q:$Q,0),MATCH($B$3,配置数据库!$G$8:$AG$8,0)),""),";","；"),FIND("；",SUBSTITUTE(IFERROR(INDEX(配置数据库!$G:$AG,MATCH(47,$Q:$Q,0),MATCH($B$3,配置数据库!$G$8:$AG$8,0)),""),";","；"))-1),IFERROR(INDEX(配置数据库!$G:$AG,MATCH(47,$Q:$Q,0),MATCH($B$3,配置数据库!$G$8:$AG$8,0)),"")))</f>
        <v/>
      </c>
      <c r="C89" s="17" t="str">
        <f t="shared" si="11"/>
        <v/>
      </c>
      <c r="D89" s="17" t="str">
        <f>IF($A89="","",IFERROR(INDEX(配置数据库!$B:$B,MATCH(47,$Q:$Q,0)),""))</f>
        <v/>
      </c>
      <c r="E89" t="str">
        <f>IF($A89="","",IFERROR(INDEX(配置数据库!$G:$AG,MATCH($A89,配置数据库!$A:$A,0),MATCH($B$3,配置数据库!$G$8:$AG$8,0)),""))</f>
        <v/>
      </c>
      <c r="F89" t="str">
        <f t="shared" si="12"/>
        <v/>
      </c>
      <c r="G89" t="str">
        <f t="shared" si="13"/>
        <v/>
      </c>
      <c r="H89" t="str">
        <f t="shared" si="14"/>
        <v/>
      </c>
      <c r="I89" t="str">
        <f t="shared" si="15"/>
        <v/>
      </c>
      <c r="J89" t="str">
        <f t="shared" si="16"/>
        <v/>
      </c>
      <c r="K89" t="str">
        <f t="shared" si="17"/>
        <v/>
      </c>
      <c r="L89" t="str">
        <f t="shared" si="18"/>
        <v/>
      </c>
      <c r="M89" t="str">
        <f t="shared" si="19"/>
        <v/>
      </c>
      <c r="N89" t="str">
        <f t="shared" si="20"/>
        <v/>
      </c>
      <c r="O89" t="str">
        <f t="shared" si="21"/>
        <v/>
      </c>
      <c r="P89" t="str">
        <f>IF(AND(配置数据库!$C111="售前填写",INDEX(配置数据库!$G111:$AG111,1,MATCH($B$3,配置数据库!$G$8:$AG$8,0))&lt;&gt;""),SUMPRODUCT((配置数据库!$C$10:$C111="售前填写")*(INDEX(配置数据库!$G$10:$AG111,0,MATCH($B$3,配置数据库!$G$8:$AG$8,0))&lt;&gt;"")),"")</f>
        <v/>
      </c>
      <c r="Q89">
        <f>IF(AND(配置数据库!$C111="默认配置",INDEX(配置数据库!$G111:$AG111,1,MATCH($B$3,配置数据库!$G$8:$AG$8,0))&lt;&gt;""),SUMPRODUCT((配置数据库!$C$10:$C111="默认配置")*(INDEX(配置数据库!$G$10:$AG111,0,MATCH($B$3,配置数据库!$G$8:$AG$8,0))&lt;&gt;"")),"")</f>
        <v>43</v>
      </c>
    </row>
    <row r="90" ht="28" customHeight="1" spans="1:17">
      <c r="A90" s="17" t="str">
        <f>IFERROR(INDEX(配置数据库!$A:$A,MATCH(48,$Q:$Q,0)),"")</f>
        <v/>
      </c>
      <c r="B90" s="21" t="str">
        <f>IF($A90="","",IFERROR(LEFT(SUBSTITUTE(IFERROR(INDEX(配置数据库!$G:$AG,MATCH(48,$Q:$Q,0),MATCH($B$3,配置数据库!$G$8:$AG$8,0)),""),";","；"),FIND("；",SUBSTITUTE(IFERROR(INDEX(配置数据库!$G:$AG,MATCH(48,$Q:$Q,0),MATCH($B$3,配置数据库!$G$8:$AG$8,0)),""),";","；"))-1),IFERROR(INDEX(配置数据库!$G:$AG,MATCH(48,$Q:$Q,0),MATCH($B$3,配置数据库!$G$8:$AG$8,0)),"")))</f>
        <v/>
      </c>
      <c r="C90" s="17" t="str">
        <f t="shared" si="11"/>
        <v/>
      </c>
      <c r="D90" s="17" t="str">
        <f>IF($A90="","",IFERROR(INDEX(配置数据库!$B:$B,MATCH(48,$Q:$Q,0)),""))</f>
        <v/>
      </c>
      <c r="E90" t="str">
        <f>IF($A90="","",IFERROR(INDEX(配置数据库!$G:$AG,MATCH($A90,配置数据库!$A:$A,0),MATCH($B$3,配置数据库!$G$8:$AG$8,0)),""))</f>
        <v/>
      </c>
      <c r="F90" t="str">
        <f t="shared" si="12"/>
        <v/>
      </c>
      <c r="G90" t="str">
        <f t="shared" si="13"/>
        <v/>
      </c>
      <c r="H90" t="str">
        <f t="shared" si="14"/>
        <v/>
      </c>
      <c r="I90" t="str">
        <f t="shared" si="15"/>
        <v/>
      </c>
      <c r="J90" t="str">
        <f t="shared" si="16"/>
        <v/>
      </c>
      <c r="K90" t="str">
        <f t="shared" si="17"/>
        <v/>
      </c>
      <c r="L90" t="str">
        <f t="shared" si="18"/>
        <v/>
      </c>
      <c r="M90" t="str">
        <f t="shared" si="19"/>
        <v/>
      </c>
      <c r="N90" t="str">
        <f t="shared" si="20"/>
        <v/>
      </c>
      <c r="O90" t="str">
        <f t="shared" si="21"/>
        <v/>
      </c>
      <c r="P90" t="e">
        <f>IF(AND(配置数据库!#REF!="售前填写",INDEX(配置数据库!#REF!,1,MATCH($B$3,配置数据库!$G$8:$AG$8,0))&lt;&gt;""),SUMPRODUCT((配置数据库!$C$10:$C111="售前填写")*(INDEX(配置数据库!$G$10:$AG111,0,MATCH($B$3,配置数据库!$G$8:$AG$8,0))&lt;&gt;"")),"")</f>
        <v>#REF!</v>
      </c>
      <c r="Q90" t="e">
        <f>IF(AND(配置数据库!#REF!="默认配置",INDEX(配置数据库!#REF!,1,MATCH($B$3,配置数据库!$G$8:$AG$8,0))&lt;&gt;""),SUMPRODUCT((配置数据库!$C$10:$C111="默认配置")*(INDEX(配置数据库!$G$10:$AG111,0,MATCH($B$3,配置数据库!$G$8:$AG$8,0))&lt;&gt;"")),"")</f>
        <v>#REF!</v>
      </c>
    </row>
    <row r="91" ht="28" customHeight="1" spans="1:17">
      <c r="A91" s="17" t="str">
        <f>IFERROR(INDEX(配置数据库!$A:$A,MATCH(49,$Q:$Q,0)),"")</f>
        <v/>
      </c>
      <c r="B91" s="21" t="str">
        <f>IF($A91="","",IFERROR(LEFT(SUBSTITUTE(IFERROR(INDEX(配置数据库!$G:$AG,MATCH(49,$Q:$Q,0),MATCH($B$3,配置数据库!$G$8:$AG$8,0)),""),";","；"),FIND("；",SUBSTITUTE(IFERROR(INDEX(配置数据库!$G:$AG,MATCH(49,$Q:$Q,0),MATCH($B$3,配置数据库!$G$8:$AG$8,0)),""),";","；"))-1),IFERROR(INDEX(配置数据库!$G:$AG,MATCH(49,$Q:$Q,0),MATCH($B$3,配置数据库!$G$8:$AG$8,0)),"")))</f>
        <v/>
      </c>
      <c r="C91" s="17" t="str">
        <f t="shared" si="11"/>
        <v/>
      </c>
      <c r="D91" s="17" t="str">
        <f>IF($A91="","",IFERROR(INDEX(配置数据库!$B:$B,MATCH(49,$Q:$Q,0)),""))</f>
        <v/>
      </c>
      <c r="E91" t="str">
        <f>IF($A91="","",IFERROR(INDEX(配置数据库!$G:$AG,MATCH($A91,配置数据库!$A:$A,0),MATCH($B$3,配置数据库!$G$8:$AG$8,0)),""))</f>
        <v/>
      </c>
      <c r="F91" t="str">
        <f t="shared" si="12"/>
        <v/>
      </c>
      <c r="G91" t="str">
        <f t="shared" si="13"/>
        <v/>
      </c>
      <c r="H91" t="str">
        <f t="shared" si="14"/>
        <v/>
      </c>
      <c r="I91" t="str">
        <f t="shared" si="15"/>
        <v/>
      </c>
      <c r="J91" t="str">
        <f t="shared" si="16"/>
        <v/>
      </c>
      <c r="K91" t="str">
        <f t="shared" si="17"/>
        <v/>
      </c>
      <c r="L91" t="str">
        <f t="shared" si="18"/>
        <v/>
      </c>
      <c r="M91" t="str">
        <f t="shared" si="19"/>
        <v/>
      </c>
      <c r="N91" t="str">
        <f t="shared" si="20"/>
        <v/>
      </c>
      <c r="O91" t="str">
        <f t="shared" si="21"/>
        <v/>
      </c>
      <c r="P91" t="e">
        <f>IF(AND(配置数据库!#REF!="售前填写",INDEX(配置数据库!#REF!,1,MATCH($B$3,配置数据库!$G$8:$AG$8,0))&lt;&gt;""),SUMPRODUCT((配置数据库!$C$10:$C111="售前填写")*(INDEX(配置数据库!$G$10:$AG111,0,MATCH($B$3,配置数据库!$G$8:$AG$8,0))&lt;&gt;"")),"")</f>
        <v>#REF!</v>
      </c>
      <c r="Q91" t="e">
        <f>IF(AND(配置数据库!#REF!="默认配置",INDEX(配置数据库!#REF!,1,MATCH($B$3,配置数据库!$G$8:$AG$8,0))&lt;&gt;""),SUMPRODUCT((配置数据库!$C$10:$C111="默认配置")*(INDEX(配置数据库!$G$10:$AG111,0,MATCH($B$3,配置数据库!$G$8:$AG$8,0))&lt;&gt;"")),"")</f>
        <v>#REF!</v>
      </c>
    </row>
    <row r="92" ht="28" customHeight="1" spans="1:17">
      <c r="A92" s="17" t="str">
        <f>IFERROR(INDEX(配置数据库!$A:$A,MATCH(50,$Q:$Q,0)),"")</f>
        <v/>
      </c>
      <c r="B92" s="21" t="str">
        <f>IF($A92="","",IFERROR(LEFT(SUBSTITUTE(IFERROR(INDEX(配置数据库!$G:$AG,MATCH(50,$Q:$Q,0),MATCH($B$3,配置数据库!$G$8:$AG$8,0)),""),";","；"),FIND("；",SUBSTITUTE(IFERROR(INDEX(配置数据库!$G:$AG,MATCH(50,$Q:$Q,0),MATCH($B$3,配置数据库!$G$8:$AG$8,0)),""),";","；"))-1),IFERROR(INDEX(配置数据库!$G:$AG,MATCH(50,$Q:$Q,0),MATCH($B$3,配置数据库!$G$8:$AG$8,0)),"")))</f>
        <v/>
      </c>
      <c r="C92" s="17" t="str">
        <f t="shared" si="11"/>
        <v/>
      </c>
      <c r="D92" s="17" t="str">
        <f>IF($A92="","",IFERROR(INDEX(配置数据库!$B:$B,MATCH(50,$Q:$Q,0)),""))</f>
        <v/>
      </c>
      <c r="E92" t="str">
        <f>IF($A92="","",IFERROR(INDEX(配置数据库!$G:$AG,MATCH($A92,配置数据库!$A:$A,0),MATCH($B$3,配置数据库!$G$8:$AG$8,0)),""))</f>
        <v/>
      </c>
      <c r="F92" t="str">
        <f t="shared" si="12"/>
        <v/>
      </c>
      <c r="G92" t="str">
        <f t="shared" si="13"/>
        <v/>
      </c>
      <c r="H92" t="str">
        <f t="shared" si="14"/>
        <v/>
      </c>
      <c r="I92" t="str">
        <f t="shared" si="15"/>
        <v/>
      </c>
      <c r="J92" t="str">
        <f t="shared" si="16"/>
        <v/>
      </c>
      <c r="K92" t="str">
        <f t="shared" si="17"/>
        <v/>
      </c>
      <c r="L92" t="str">
        <f t="shared" si="18"/>
        <v/>
      </c>
      <c r="M92" t="str">
        <f t="shared" si="19"/>
        <v/>
      </c>
      <c r="N92" t="str">
        <f t="shared" si="20"/>
        <v/>
      </c>
      <c r="O92" t="str">
        <f t="shared" si="21"/>
        <v/>
      </c>
      <c r="P92" t="str">
        <f>IF(AND(配置数据库!$C112="售前填写",INDEX(配置数据库!$G112:$AG112,1,MATCH($B$3,配置数据库!$G$8:$AG$8,0))&lt;&gt;""),SUMPRODUCT((配置数据库!$C$10:$C112="售前填写")*(INDEX(配置数据库!$G$10:$AG112,0,MATCH($B$3,配置数据库!$G$8:$AG$8,0))&lt;&gt;"")),"")</f>
        <v/>
      </c>
      <c r="Q92">
        <f>IF(AND(配置数据库!$C112="默认配置",INDEX(配置数据库!$G112:$AG112,1,MATCH($B$3,配置数据库!$G$8:$AG$8,0))&lt;&gt;""),SUMPRODUCT((配置数据库!$C$10:$C112="默认配置")*(INDEX(配置数据库!$G$10:$AG112,0,MATCH($B$3,配置数据库!$G$8:$AG$8,0))&lt;&gt;"")),"")</f>
        <v>44</v>
      </c>
    </row>
    <row r="93" ht="28" customHeight="1" spans="1:17">
      <c r="A93" s="17" t="str">
        <f>IFERROR(INDEX(配置数据库!$A:$A,MATCH(51,$Q:$Q,0)),"")</f>
        <v/>
      </c>
      <c r="B93" s="21" t="str">
        <f>IF($A93="","",IFERROR(LEFT(SUBSTITUTE(IFERROR(INDEX(配置数据库!$G:$AG,MATCH(51,$Q:$Q,0),MATCH($B$3,配置数据库!$G$8:$AG$8,0)),""),";","；"),FIND("；",SUBSTITUTE(IFERROR(INDEX(配置数据库!$G:$AG,MATCH(51,$Q:$Q,0),MATCH($B$3,配置数据库!$G$8:$AG$8,0)),""),";","；"))-1),IFERROR(INDEX(配置数据库!$G:$AG,MATCH(51,$Q:$Q,0),MATCH($B$3,配置数据库!$G$8:$AG$8,0)),"")))</f>
        <v/>
      </c>
      <c r="C93" s="17" t="str">
        <f t="shared" si="11"/>
        <v/>
      </c>
      <c r="D93" s="17" t="str">
        <f>IF($A93="","",IFERROR(INDEX(配置数据库!$B:$B,MATCH(51,$Q:$Q,0)),""))</f>
        <v/>
      </c>
      <c r="E93" t="str">
        <f>IF($A93="","",IFERROR(INDEX(配置数据库!$G:$AG,MATCH($A93,配置数据库!$A:$A,0),MATCH($B$3,配置数据库!$G$8:$AG$8,0)),""))</f>
        <v/>
      </c>
      <c r="F93" t="str">
        <f t="shared" si="12"/>
        <v/>
      </c>
      <c r="G93" t="str">
        <f t="shared" si="13"/>
        <v/>
      </c>
      <c r="H93" t="str">
        <f t="shared" si="14"/>
        <v/>
      </c>
      <c r="I93" t="str">
        <f t="shared" si="15"/>
        <v/>
      </c>
      <c r="J93" t="str">
        <f t="shared" si="16"/>
        <v/>
      </c>
      <c r="K93" t="str">
        <f t="shared" si="17"/>
        <v/>
      </c>
      <c r="L93" t="str">
        <f t="shared" si="18"/>
        <v/>
      </c>
      <c r="M93" t="str">
        <f t="shared" si="19"/>
        <v/>
      </c>
      <c r="N93" t="str">
        <f t="shared" si="20"/>
        <v/>
      </c>
      <c r="O93" t="str">
        <f t="shared" si="21"/>
        <v/>
      </c>
      <c r="P93" t="str">
        <f>IF(AND(配置数据库!$C113="售前填写",INDEX(配置数据库!$G113:$AG113,1,MATCH($B$3,配置数据库!$G$8:$AG$8,0))&lt;&gt;""),SUMPRODUCT((配置数据库!$C$10:$C113="售前填写")*(INDEX(配置数据库!$G$10:$AG113,0,MATCH($B$3,配置数据库!$G$8:$AG$8,0))&lt;&gt;"")),"")</f>
        <v/>
      </c>
      <c r="Q93" t="str">
        <f>IF(AND(配置数据库!$C113="默认配置",INDEX(配置数据库!$G113:$AG113,1,MATCH($B$3,配置数据库!$G$8:$AG$8,0))&lt;&gt;""),SUMPRODUCT((配置数据库!$C$10:$C113="默认配置")*(INDEX(配置数据库!$G$10:$AG113,0,MATCH($B$3,配置数据库!$G$8:$AG$8,0))&lt;&gt;"")),"")</f>
        <v/>
      </c>
    </row>
    <row r="94" ht="28" customHeight="1" spans="1:17">
      <c r="A94" s="17" t="str">
        <f>IFERROR(INDEX(配置数据库!$A:$A,MATCH(52,$Q:$Q,0)),"")</f>
        <v/>
      </c>
      <c r="B94" s="21" t="str">
        <f>IF($A94="","",IFERROR(LEFT(SUBSTITUTE(IFERROR(INDEX(配置数据库!$G:$AG,MATCH(52,$Q:$Q,0),MATCH($B$3,配置数据库!$G$8:$AG$8,0)),""),";","；"),FIND("；",SUBSTITUTE(IFERROR(INDEX(配置数据库!$G:$AG,MATCH(52,$Q:$Q,0),MATCH($B$3,配置数据库!$G$8:$AG$8,0)),""),";","；"))-1),IFERROR(INDEX(配置数据库!$G:$AG,MATCH(52,$Q:$Q,0),MATCH($B$3,配置数据库!$G$8:$AG$8,0)),"")))</f>
        <v/>
      </c>
      <c r="C94" s="17" t="str">
        <f t="shared" si="11"/>
        <v/>
      </c>
      <c r="D94" s="17" t="str">
        <f>IF($A94="","",IFERROR(INDEX(配置数据库!$B:$B,MATCH(52,$Q:$Q,0)),""))</f>
        <v/>
      </c>
      <c r="E94" t="str">
        <f>IF($A94="","",IFERROR(INDEX(配置数据库!$G:$AG,MATCH($A94,配置数据库!$A:$A,0),MATCH($B$3,配置数据库!$G$8:$AG$8,0)),""))</f>
        <v/>
      </c>
      <c r="F94" t="str">
        <f t="shared" si="12"/>
        <v/>
      </c>
      <c r="G94" t="str">
        <f t="shared" si="13"/>
        <v/>
      </c>
      <c r="H94" t="str">
        <f t="shared" si="14"/>
        <v/>
      </c>
      <c r="I94" t="str">
        <f t="shared" si="15"/>
        <v/>
      </c>
      <c r="J94" t="str">
        <f t="shared" si="16"/>
        <v/>
      </c>
      <c r="K94" t="str">
        <f t="shared" si="17"/>
        <v/>
      </c>
      <c r="L94" t="str">
        <f t="shared" si="18"/>
        <v/>
      </c>
      <c r="M94" t="str">
        <f t="shared" si="19"/>
        <v/>
      </c>
      <c r="N94" t="str">
        <f t="shared" si="20"/>
        <v/>
      </c>
      <c r="O94" t="str">
        <f t="shared" si="21"/>
        <v/>
      </c>
      <c r="P94" t="str">
        <f>IF(AND(配置数据库!$C114="售前填写",INDEX(配置数据库!$G114:$AG114,1,MATCH($B$3,配置数据库!$G$8:$AG$8,0))&lt;&gt;""),SUMPRODUCT((配置数据库!$C$10:$C114="售前填写")*(INDEX(配置数据库!$G$10:$AG114,0,MATCH($B$3,配置数据库!$G$8:$AG$8,0))&lt;&gt;"")),"")</f>
        <v/>
      </c>
      <c r="Q94" t="str">
        <f>IF(AND(配置数据库!$C114="默认配置",INDEX(配置数据库!$G114:$AG114,1,MATCH($B$3,配置数据库!$G$8:$AG$8,0))&lt;&gt;""),SUMPRODUCT((配置数据库!$C$10:$C114="默认配置")*(INDEX(配置数据库!$G$10:$AG114,0,MATCH($B$3,配置数据库!$G$8:$AG$8,0))&lt;&gt;"")),"")</f>
        <v/>
      </c>
    </row>
    <row r="95" ht="28" customHeight="1" spans="1:17">
      <c r="A95" s="17" t="str">
        <f>IFERROR(INDEX(配置数据库!$A:$A,MATCH(53,$Q:$Q,0)),"")</f>
        <v/>
      </c>
      <c r="B95" s="21" t="str">
        <f>IF($A95="","",IFERROR(LEFT(SUBSTITUTE(IFERROR(INDEX(配置数据库!$G:$AG,MATCH(53,$Q:$Q,0),MATCH($B$3,配置数据库!$G$8:$AG$8,0)),""),";","；"),FIND("；",SUBSTITUTE(IFERROR(INDEX(配置数据库!$G:$AG,MATCH(53,$Q:$Q,0),MATCH($B$3,配置数据库!$G$8:$AG$8,0)),""),";","；"))-1),IFERROR(INDEX(配置数据库!$G:$AG,MATCH(53,$Q:$Q,0),MATCH($B$3,配置数据库!$G$8:$AG$8,0)),"")))</f>
        <v/>
      </c>
      <c r="C95" s="17" t="str">
        <f t="shared" si="11"/>
        <v/>
      </c>
      <c r="D95" s="17" t="str">
        <f>IF($A95="","",IFERROR(INDEX(配置数据库!$B:$B,MATCH(53,$Q:$Q,0)),""))</f>
        <v/>
      </c>
      <c r="E95" t="str">
        <f>IF($A95="","",IFERROR(INDEX(配置数据库!$G:$AG,MATCH($A95,配置数据库!$A:$A,0),MATCH($B$3,配置数据库!$G$8:$AG$8,0)),""))</f>
        <v/>
      </c>
      <c r="F95" t="str">
        <f t="shared" si="12"/>
        <v/>
      </c>
      <c r="G95" t="str">
        <f t="shared" si="13"/>
        <v/>
      </c>
      <c r="H95" t="str">
        <f t="shared" si="14"/>
        <v/>
      </c>
      <c r="I95" t="str">
        <f t="shared" si="15"/>
        <v/>
      </c>
      <c r="J95" t="str">
        <f t="shared" si="16"/>
        <v/>
      </c>
      <c r="K95" t="str">
        <f t="shared" si="17"/>
        <v/>
      </c>
      <c r="L95" t="str">
        <f t="shared" si="18"/>
        <v/>
      </c>
      <c r="M95" t="str">
        <f t="shared" si="19"/>
        <v/>
      </c>
      <c r="N95" t="str">
        <f t="shared" si="20"/>
        <v/>
      </c>
      <c r="O95" t="str">
        <f t="shared" si="21"/>
        <v/>
      </c>
      <c r="P95" t="str">
        <f>IF(AND(配置数据库!$C115="售前填写",INDEX(配置数据库!$G115:$AG115,1,MATCH($B$3,配置数据库!$G$8:$AG$8,0))&lt;&gt;""),SUMPRODUCT((配置数据库!$C$10:$C115="售前填写")*(INDEX(配置数据库!$G$10:$AG115,0,MATCH($B$3,配置数据库!$G$8:$AG$8,0))&lt;&gt;"")),"")</f>
        <v/>
      </c>
      <c r="Q95" t="str">
        <f>IF(AND(配置数据库!$C115="默认配置",INDEX(配置数据库!$G115:$AG115,1,MATCH($B$3,配置数据库!$G$8:$AG$8,0))&lt;&gt;""),SUMPRODUCT((配置数据库!$C$10:$C115="默认配置")*(INDEX(配置数据库!$G$10:$AG115,0,MATCH($B$3,配置数据库!$G$8:$AG$8,0))&lt;&gt;"")),"")</f>
        <v/>
      </c>
    </row>
    <row r="96" ht="28" customHeight="1" spans="1:17">
      <c r="A96" s="17" t="str">
        <f>IFERROR(INDEX(配置数据库!$A:$A,MATCH(54,$Q:$Q,0)),"")</f>
        <v/>
      </c>
      <c r="B96" s="21" t="str">
        <f>IF($A96="","",IFERROR(LEFT(SUBSTITUTE(IFERROR(INDEX(配置数据库!$G:$AG,MATCH(54,$Q:$Q,0),MATCH($B$3,配置数据库!$G$8:$AG$8,0)),""),";","；"),FIND("；",SUBSTITUTE(IFERROR(INDEX(配置数据库!$G:$AG,MATCH(54,$Q:$Q,0),MATCH($B$3,配置数据库!$G$8:$AG$8,0)),""),";","；"))-1),IFERROR(INDEX(配置数据库!$G:$AG,MATCH(54,$Q:$Q,0),MATCH($B$3,配置数据库!$G$8:$AG$8,0)),"")))</f>
        <v/>
      </c>
      <c r="C96" s="17" t="str">
        <f t="shared" si="11"/>
        <v/>
      </c>
      <c r="D96" s="17" t="str">
        <f>IF($A96="","",IFERROR(INDEX(配置数据库!$B:$B,MATCH(54,$Q:$Q,0)),""))</f>
        <v/>
      </c>
      <c r="E96" t="str">
        <f>IF($A96="","",IFERROR(INDEX(配置数据库!$G:$AG,MATCH($A96,配置数据库!$A:$A,0),MATCH($B$3,配置数据库!$G$8:$AG$8,0)),""))</f>
        <v/>
      </c>
      <c r="F96" t="str">
        <f t="shared" si="12"/>
        <v/>
      </c>
      <c r="G96" t="str">
        <f t="shared" si="13"/>
        <v/>
      </c>
      <c r="H96" t="str">
        <f t="shared" si="14"/>
        <v/>
      </c>
      <c r="I96" t="str">
        <f t="shared" si="15"/>
        <v/>
      </c>
      <c r="J96" t="str">
        <f t="shared" si="16"/>
        <v/>
      </c>
      <c r="K96" t="str">
        <f t="shared" si="17"/>
        <v/>
      </c>
      <c r="L96" t="str">
        <f t="shared" si="18"/>
        <v/>
      </c>
      <c r="M96" t="str">
        <f t="shared" si="19"/>
        <v/>
      </c>
      <c r="N96" t="str">
        <f t="shared" si="20"/>
        <v/>
      </c>
      <c r="O96" t="str">
        <f t="shared" si="21"/>
        <v/>
      </c>
      <c r="P96" t="str">
        <f>IF(AND(配置数据库!$C116="售前填写",INDEX(配置数据库!$G116:$AG116,1,MATCH($B$3,配置数据库!$G$8:$AG$8,0))&lt;&gt;""),SUMPRODUCT((配置数据库!$C$10:$C116="售前填写")*(INDEX(配置数据库!$G$10:$AG116,0,MATCH($B$3,配置数据库!$G$8:$AG$8,0))&lt;&gt;"")),"")</f>
        <v/>
      </c>
      <c r="Q96" t="str">
        <f>IF(AND(配置数据库!$C116="默认配置",INDEX(配置数据库!$G116:$AG116,1,MATCH($B$3,配置数据库!$G$8:$AG$8,0))&lt;&gt;""),SUMPRODUCT((配置数据库!$C$10:$C116="默认配置")*(INDEX(配置数据库!$G$10:$AG116,0,MATCH($B$3,配置数据库!$G$8:$AG$8,0))&lt;&gt;"")),"")</f>
        <v/>
      </c>
    </row>
    <row r="97" ht="28" customHeight="1" spans="1:17">
      <c r="A97" s="17" t="str">
        <f>IFERROR(INDEX(配置数据库!$A:$A,MATCH(55,$Q:$Q,0)),"")</f>
        <v/>
      </c>
      <c r="B97" s="21" t="str">
        <f>IF($A97="","",IFERROR(LEFT(SUBSTITUTE(IFERROR(INDEX(配置数据库!$G:$AG,MATCH(55,$Q:$Q,0),MATCH($B$3,配置数据库!$G$8:$AG$8,0)),""),";","；"),FIND("；",SUBSTITUTE(IFERROR(INDEX(配置数据库!$G:$AG,MATCH(55,$Q:$Q,0),MATCH($B$3,配置数据库!$G$8:$AG$8,0)),""),";","；"))-1),IFERROR(INDEX(配置数据库!$G:$AG,MATCH(55,$Q:$Q,0),MATCH($B$3,配置数据库!$G$8:$AG$8,0)),"")))</f>
        <v/>
      </c>
      <c r="C97" s="17" t="str">
        <f t="shared" si="11"/>
        <v/>
      </c>
      <c r="D97" s="17" t="str">
        <f>IF($A97="","",IFERROR(INDEX(配置数据库!$B:$B,MATCH(55,$Q:$Q,0)),""))</f>
        <v/>
      </c>
      <c r="E97" t="str">
        <f>IF($A97="","",IFERROR(INDEX(配置数据库!$G:$AG,MATCH($A97,配置数据库!$A:$A,0),MATCH($B$3,配置数据库!$G$8:$AG$8,0)),""))</f>
        <v/>
      </c>
      <c r="F97" t="str">
        <f t="shared" si="12"/>
        <v/>
      </c>
      <c r="G97" t="str">
        <f t="shared" si="13"/>
        <v/>
      </c>
      <c r="H97" t="str">
        <f t="shared" si="14"/>
        <v/>
      </c>
      <c r="I97" t="str">
        <f t="shared" si="15"/>
        <v/>
      </c>
      <c r="J97" t="str">
        <f t="shared" si="16"/>
        <v/>
      </c>
      <c r="K97" t="str">
        <f t="shared" si="17"/>
        <v/>
      </c>
      <c r="L97" t="str">
        <f t="shared" si="18"/>
        <v/>
      </c>
      <c r="M97" t="str">
        <f t="shared" si="19"/>
        <v/>
      </c>
      <c r="N97" t="str">
        <f t="shared" si="20"/>
        <v/>
      </c>
      <c r="O97" t="str">
        <f t="shared" si="21"/>
        <v/>
      </c>
      <c r="P97" t="str">
        <f>IF(AND(配置数据库!$C117="售前填写",INDEX(配置数据库!$G117:$AG117,1,MATCH($B$3,配置数据库!$G$8:$AG$8,0))&lt;&gt;""),SUMPRODUCT((配置数据库!$C$10:$C117="售前填写")*(INDEX(配置数据库!$G$10:$AG117,0,MATCH($B$3,配置数据库!$G$8:$AG$8,0))&lt;&gt;"")),"")</f>
        <v/>
      </c>
      <c r="Q97" t="str">
        <f>IF(AND(配置数据库!$C117="默认配置",INDEX(配置数据库!$G117:$AG117,1,MATCH($B$3,配置数据库!$G$8:$AG$8,0))&lt;&gt;""),SUMPRODUCT((配置数据库!$C$10:$C117="默认配置")*(INDEX(配置数据库!$G$10:$AG117,0,MATCH($B$3,配置数据库!$G$8:$AG$8,0))&lt;&gt;"")),"")</f>
        <v/>
      </c>
    </row>
    <row r="98" ht="28" customHeight="1" spans="1:17">
      <c r="A98" s="17" t="str">
        <f>IFERROR(INDEX(配置数据库!$A:$A,MATCH(56,$Q:$Q,0)),"")</f>
        <v/>
      </c>
      <c r="B98" s="21" t="str">
        <f>IF($A98="","",IFERROR(LEFT(SUBSTITUTE(IFERROR(INDEX(配置数据库!$G:$AG,MATCH(56,$Q:$Q,0),MATCH($B$3,配置数据库!$G$8:$AG$8,0)),""),";","；"),FIND("；",SUBSTITUTE(IFERROR(INDEX(配置数据库!$G:$AG,MATCH(56,$Q:$Q,0),MATCH($B$3,配置数据库!$G$8:$AG$8,0)),""),";","；"))-1),IFERROR(INDEX(配置数据库!$G:$AG,MATCH(56,$Q:$Q,0),MATCH($B$3,配置数据库!$G$8:$AG$8,0)),"")))</f>
        <v/>
      </c>
      <c r="C98" s="17" t="str">
        <f t="shared" si="11"/>
        <v/>
      </c>
      <c r="D98" s="17" t="str">
        <f>IF($A98="","",IFERROR(INDEX(配置数据库!$B:$B,MATCH(56,$Q:$Q,0)),""))</f>
        <v/>
      </c>
      <c r="E98" t="str">
        <f>IF($A98="","",IFERROR(INDEX(配置数据库!$G:$AG,MATCH($A98,配置数据库!$A:$A,0),MATCH($B$3,配置数据库!$G$8:$AG$8,0)),""))</f>
        <v/>
      </c>
      <c r="F98" t="str">
        <f t="shared" si="12"/>
        <v/>
      </c>
      <c r="G98" t="str">
        <f t="shared" si="13"/>
        <v/>
      </c>
      <c r="H98" t="str">
        <f t="shared" si="14"/>
        <v/>
      </c>
      <c r="I98" t="str">
        <f t="shared" si="15"/>
        <v/>
      </c>
      <c r="J98" t="str">
        <f t="shared" si="16"/>
        <v/>
      </c>
      <c r="K98" t="str">
        <f t="shared" si="17"/>
        <v/>
      </c>
      <c r="L98" t="str">
        <f t="shared" si="18"/>
        <v/>
      </c>
      <c r="M98" t="str">
        <f t="shared" si="19"/>
        <v/>
      </c>
      <c r="N98" t="str">
        <f t="shared" si="20"/>
        <v/>
      </c>
      <c r="O98" t="str">
        <f t="shared" si="21"/>
        <v/>
      </c>
      <c r="P98" t="str">
        <f>IF(AND(配置数据库!$C118="售前填写",INDEX(配置数据库!$G118:$AG118,1,MATCH($B$3,配置数据库!$G$8:$AG$8,0))&lt;&gt;""),SUMPRODUCT((配置数据库!$C$10:$C118="售前填写")*(INDEX(配置数据库!$G$10:$AG118,0,MATCH($B$3,配置数据库!$G$8:$AG$8,0))&lt;&gt;"")),"")</f>
        <v/>
      </c>
      <c r="Q98" t="str">
        <f>IF(AND(配置数据库!$C118="默认配置",INDEX(配置数据库!$G118:$AG118,1,MATCH($B$3,配置数据库!$G$8:$AG$8,0))&lt;&gt;""),SUMPRODUCT((配置数据库!$C$10:$C118="默认配置")*(INDEX(配置数据库!$G$10:$AG118,0,MATCH($B$3,配置数据库!$G$8:$AG$8,0))&lt;&gt;"")),"")</f>
        <v/>
      </c>
    </row>
    <row r="99" ht="28" customHeight="1" spans="1:17">
      <c r="A99" s="17" t="str">
        <f>IFERROR(INDEX(配置数据库!$A:$A,MATCH(57,$Q:$Q,0)),"")</f>
        <v/>
      </c>
      <c r="B99" s="21" t="str">
        <f>IF($A99="","",IFERROR(LEFT(SUBSTITUTE(IFERROR(INDEX(配置数据库!$G:$AG,MATCH(57,$Q:$Q,0),MATCH($B$3,配置数据库!$G$8:$AG$8,0)),""),";","；"),FIND("；",SUBSTITUTE(IFERROR(INDEX(配置数据库!$G:$AG,MATCH(57,$Q:$Q,0),MATCH($B$3,配置数据库!$G$8:$AG$8,0)),""),";","；"))-1),IFERROR(INDEX(配置数据库!$G:$AG,MATCH(57,$Q:$Q,0),MATCH($B$3,配置数据库!$G$8:$AG$8,0)),"")))</f>
        <v/>
      </c>
      <c r="C99" s="17" t="str">
        <f t="shared" si="11"/>
        <v/>
      </c>
      <c r="D99" s="17" t="str">
        <f>IF($A99="","",IFERROR(INDEX(配置数据库!$B:$B,MATCH(57,$Q:$Q,0)),""))</f>
        <v/>
      </c>
      <c r="E99" t="str">
        <f>IF($A99="","",IFERROR(INDEX(配置数据库!$G:$AG,MATCH($A99,配置数据库!$A:$A,0),MATCH($B$3,配置数据库!$G$8:$AG$8,0)),""))</f>
        <v/>
      </c>
      <c r="F99" t="str">
        <f t="shared" si="12"/>
        <v/>
      </c>
      <c r="G99" t="str">
        <f t="shared" si="13"/>
        <v/>
      </c>
      <c r="H99" t="str">
        <f t="shared" si="14"/>
        <v/>
      </c>
      <c r="I99" t="str">
        <f t="shared" si="15"/>
        <v/>
      </c>
      <c r="J99" t="str">
        <f t="shared" si="16"/>
        <v/>
      </c>
      <c r="K99" t="str">
        <f t="shared" si="17"/>
        <v/>
      </c>
      <c r="L99" t="str">
        <f t="shared" si="18"/>
        <v/>
      </c>
      <c r="M99" t="str">
        <f t="shared" si="19"/>
        <v/>
      </c>
      <c r="N99" t="str">
        <f t="shared" si="20"/>
        <v/>
      </c>
      <c r="O99" t="str">
        <f t="shared" si="21"/>
        <v/>
      </c>
      <c r="P99" t="str">
        <f>IF(AND(配置数据库!$C119="售前填写",INDEX(配置数据库!$G119:$AG119,1,MATCH($B$3,配置数据库!$G$8:$AG$8,0))&lt;&gt;""),SUMPRODUCT((配置数据库!$C$10:$C119="售前填写")*(INDEX(配置数据库!$G$10:$AG119,0,MATCH($B$3,配置数据库!$G$8:$AG$8,0))&lt;&gt;"")),"")</f>
        <v/>
      </c>
      <c r="Q99" t="str">
        <f>IF(AND(配置数据库!$C119="默认配置",INDEX(配置数据库!$G119:$AG119,1,MATCH($B$3,配置数据库!$G$8:$AG$8,0))&lt;&gt;""),SUMPRODUCT((配置数据库!$C$10:$C119="默认配置")*(INDEX(配置数据库!$G$10:$AG119,0,MATCH($B$3,配置数据库!$G$8:$AG$8,0))&lt;&gt;"")),"")</f>
        <v/>
      </c>
    </row>
    <row r="100" ht="28" customHeight="1" spans="1:17">
      <c r="A100" s="17" t="str">
        <f>IFERROR(INDEX(配置数据库!$A:$A,MATCH(58,$Q:$Q,0)),"")</f>
        <v/>
      </c>
      <c r="B100" s="21" t="str">
        <f>IF($A100="","",IFERROR(LEFT(SUBSTITUTE(IFERROR(INDEX(配置数据库!$G:$AG,MATCH(58,$Q:$Q,0),MATCH($B$3,配置数据库!$G$8:$AG$8,0)),""),";","；"),FIND("；",SUBSTITUTE(IFERROR(INDEX(配置数据库!$G:$AG,MATCH(58,$Q:$Q,0),MATCH($B$3,配置数据库!$G$8:$AG$8,0)),""),";","；"))-1),IFERROR(INDEX(配置数据库!$G:$AG,MATCH(58,$Q:$Q,0),MATCH($B$3,配置数据库!$G$8:$AG$8,0)),"")))</f>
        <v/>
      </c>
      <c r="C100" s="17" t="str">
        <f t="shared" si="11"/>
        <v/>
      </c>
      <c r="D100" s="17" t="str">
        <f>IF($A100="","",IFERROR(INDEX(配置数据库!$B:$B,MATCH(58,$Q:$Q,0)),""))</f>
        <v/>
      </c>
      <c r="E100" t="str">
        <f>IF($A100="","",IFERROR(INDEX(配置数据库!$G:$AG,MATCH($A100,配置数据库!$A:$A,0),MATCH($B$3,配置数据库!$G$8:$AG$8,0)),""))</f>
        <v/>
      </c>
      <c r="F100" t="str">
        <f t="shared" si="12"/>
        <v/>
      </c>
      <c r="G100" t="str">
        <f t="shared" si="13"/>
        <v/>
      </c>
      <c r="H100" t="str">
        <f t="shared" si="14"/>
        <v/>
      </c>
      <c r="I100" t="str">
        <f t="shared" si="15"/>
        <v/>
      </c>
      <c r="J100" t="str">
        <f t="shared" si="16"/>
        <v/>
      </c>
      <c r="K100" t="str">
        <f t="shared" si="17"/>
        <v/>
      </c>
      <c r="L100" t="str">
        <f t="shared" si="18"/>
        <v/>
      </c>
      <c r="M100" t="str">
        <f t="shared" si="19"/>
        <v/>
      </c>
      <c r="N100" t="str">
        <f t="shared" si="20"/>
        <v/>
      </c>
      <c r="O100" t="str">
        <f t="shared" si="21"/>
        <v/>
      </c>
      <c r="P100" t="str">
        <f>IF(AND(配置数据库!$C120="售前填写",INDEX(配置数据库!$G120:$AG120,1,MATCH($B$3,配置数据库!$G$8:$AG$8,0))&lt;&gt;""),SUMPRODUCT((配置数据库!$C$10:$C120="售前填写")*(INDEX(配置数据库!$G$10:$AG120,0,MATCH($B$3,配置数据库!$G$8:$AG$8,0))&lt;&gt;"")),"")</f>
        <v/>
      </c>
      <c r="Q100" t="str">
        <f>IF(AND(配置数据库!$C120="默认配置",INDEX(配置数据库!$G120:$AG120,1,MATCH($B$3,配置数据库!$G$8:$AG$8,0))&lt;&gt;""),SUMPRODUCT((配置数据库!$C$10:$C120="默认配置")*(INDEX(配置数据库!$G$10:$AG120,0,MATCH($B$3,配置数据库!$G$8:$AG$8,0))&lt;&gt;"")),"")</f>
        <v/>
      </c>
    </row>
    <row r="101" ht="28" customHeight="1" spans="1:17">
      <c r="A101" s="17" t="str">
        <f>IFERROR(INDEX(配置数据库!$A:$A,MATCH(59,$Q:$Q,0)),"")</f>
        <v/>
      </c>
      <c r="B101" s="21" t="str">
        <f>IF($A101="","",IFERROR(LEFT(SUBSTITUTE(IFERROR(INDEX(配置数据库!$G:$AG,MATCH(59,$Q:$Q,0),MATCH($B$3,配置数据库!$G$8:$AG$8,0)),""),";","；"),FIND("；",SUBSTITUTE(IFERROR(INDEX(配置数据库!$G:$AG,MATCH(59,$Q:$Q,0),MATCH($B$3,配置数据库!$G$8:$AG$8,0)),""),";","；"))-1),IFERROR(INDEX(配置数据库!$G:$AG,MATCH(59,$Q:$Q,0),MATCH($B$3,配置数据库!$G$8:$AG$8,0)),"")))</f>
        <v/>
      </c>
      <c r="C101" s="17" t="str">
        <f t="shared" si="11"/>
        <v/>
      </c>
      <c r="D101" s="17" t="str">
        <f>IF($A101="","",IFERROR(INDEX(配置数据库!$B:$B,MATCH(59,$Q:$Q,0)),""))</f>
        <v/>
      </c>
      <c r="E101" t="str">
        <f>IF($A101="","",IFERROR(INDEX(配置数据库!$G:$AG,MATCH($A101,配置数据库!$A:$A,0),MATCH($B$3,配置数据库!$G$8:$AG$8,0)),""))</f>
        <v/>
      </c>
      <c r="F101" t="str">
        <f t="shared" si="12"/>
        <v/>
      </c>
      <c r="G101" t="str">
        <f t="shared" si="13"/>
        <v/>
      </c>
      <c r="H101" t="str">
        <f t="shared" si="14"/>
        <v/>
      </c>
      <c r="I101" t="str">
        <f t="shared" si="15"/>
        <v/>
      </c>
      <c r="J101" t="str">
        <f t="shared" si="16"/>
        <v/>
      </c>
      <c r="K101" t="str">
        <f t="shared" si="17"/>
        <v/>
      </c>
      <c r="L101" t="str">
        <f t="shared" si="18"/>
        <v/>
      </c>
      <c r="M101" t="str">
        <f t="shared" si="19"/>
        <v/>
      </c>
      <c r="N101" t="str">
        <f t="shared" si="20"/>
        <v/>
      </c>
      <c r="O101" t="str">
        <f t="shared" si="21"/>
        <v/>
      </c>
      <c r="P101" t="str">
        <f>IF(AND(配置数据库!$C121="售前填写",INDEX(配置数据库!$G121:$AG121,1,MATCH($B$3,配置数据库!$G$8:$AG$8,0))&lt;&gt;""),SUMPRODUCT((配置数据库!$C$10:$C121="售前填写")*(INDEX(配置数据库!$G$10:$AG121,0,MATCH($B$3,配置数据库!$G$8:$AG$8,0))&lt;&gt;"")),"")</f>
        <v/>
      </c>
      <c r="Q101" t="str">
        <f>IF(AND(配置数据库!$C121="默认配置",INDEX(配置数据库!$G121:$AG121,1,MATCH($B$3,配置数据库!$G$8:$AG$8,0))&lt;&gt;""),SUMPRODUCT((配置数据库!$C$10:$C121="默认配置")*(INDEX(配置数据库!$G$10:$AG121,0,MATCH($B$3,配置数据库!$G$8:$AG$8,0))&lt;&gt;"")),"")</f>
        <v/>
      </c>
    </row>
    <row r="102" ht="28" customHeight="1" spans="1:17">
      <c r="A102" s="17" t="str">
        <f>IFERROR(INDEX(配置数据库!$A:$A,MATCH(60,$Q:$Q,0)),"")</f>
        <v/>
      </c>
      <c r="B102" s="21" t="str">
        <f>IF($A102="","",IFERROR(LEFT(SUBSTITUTE(IFERROR(INDEX(配置数据库!$G:$AG,MATCH(60,$Q:$Q,0),MATCH($B$3,配置数据库!$G$8:$AG$8,0)),""),";","；"),FIND("；",SUBSTITUTE(IFERROR(INDEX(配置数据库!$G:$AG,MATCH(60,$Q:$Q,0),MATCH($B$3,配置数据库!$G$8:$AG$8,0)),""),";","；"))-1),IFERROR(INDEX(配置数据库!$G:$AG,MATCH(60,$Q:$Q,0),MATCH($B$3,配置数据库!$G$8:$AG$8,0)),"")))</f>
        <v/>
      </c>
      <c r="C102" s="17" t="str">
        <f t="shared" si="11"/>
        <v/>
      </c>
      <c r="D102" s="17" t="str">
        <f>IF($A102="","",IFERROR(INDEX(配置数据库!$B:$B,MATCH(60,$Q:$Q,0)),""))</f>
        <v/>
      </c>
      <c r="E102" t="str">
        <f>IF($A102="","",IFERROR(INDEX(配置数据库!$G:$AG,MATCH($A102,配置数据库!$A:$A,0),MATCH($B$3,配置数据库!$G$8:$AG$8,0)),""))</f>
        <v/>
      </c>
      <c r="F102" t="str">
        <f t="shared" si="12"/>
        <v/>
      </c>
      <c r="G102" t="str">
        <f t="shared" si="13"/>
        <v/>
      </c>
      <c r="H102" t="str">
        <f t="shared" si="14"/>
        <v/>
      </c>
      <c r="I102" t="str">
        <f t="shared" si="15"/>
        <v/>
      </c>
      <c r="J102" t="str">
        <f t="shared" si="16"/>
        <v/>
      </c>
      <c r="K102" t="str">
        <f t="shared" si="17"/>
        <v/>
      </c>
      <c r="L102" t="str">
        <f t="shared" si="18"/>
        <v/>
      </c>
      <c r="M102" t="str">
        <f t="shared" si="19"/>
        <v/>
      </c>
      <c r="N102" t="str">
        <f t="shared" si="20"/>
        <v/>
      </c>
      <c r="O102" t="str">
        <f t="shared" si="21"/>
        <v/>
      </c>
      <c r="P102" t="str">
        <f>IF(AND(配置数据库!$C122="售前填写",INDEX(配置数据库!$G122:$AG122,1,MATCH($B$3,配置数据库!$G$8:$AG$8,0))&lt;&gt;""),SUMPRODUCT((配置数据库!$C$10:$C122="售前填写")*(INDEX(配置数据库!$G$10:$AG122,0,MATCH($B$3,配置数据库!$G$8:$AG$8,0))&lt;&gt;"")),"")</f>
        <v/>
      </c>
      <c r="Q102" t="str">
        <f>IF(AND(配置数据库!$C122="默认配置",INDEX(配置数据库!$G122:$AG122,1,MATCH($B$3,配置数据库!$G$8:$AG$8,0))&lt;&gt;""),SUMPRODUCT((配置数据库!$C$10:$C122="默认配置")*(INDEX(配置数据库!$G$10:$AG122,0,MATCH($B$3,配置数据库!$G$8:$AG$8,0))&lt;&gt;"")),"")</f>
        <v/>
      </c>
    </row>
    <row r="103" ht="28" customHeight="1" spans="1:17">
      <c r="A103" s="17" t="str">
        <f>IFERROR(INDEX(配置数据库!$A:$A,MATCH(61,$Q:$Q,0)),"")</f>
        <v/>
      </c>
      <c r="B103" s="21" t="str">
        <f>IF($A103="","",IFERROR(LEFT(SUBSTITUTE(IFERROR(INDEX(配置数据库!$G:$AG,MATCH(61,$Q:$Q,0),MATCH($B$3,配置数据库!$G$8:$AG$8,0)),""),";","；"),FIND("；",SUBSTITUTE(IFERROR(INDEX(配置数据库!$G:$AG,MATCH(61,$Q:$Q,0),MATCH($B$3,配置数据库!$G$8:$AG$8,0)),""),";","；"))-1),IFERROR(INDEX(配置数据库!$G:$AG,MATCH(61,$Q:$Q,0),MATCH($B$3,配置数据库!$G$8:$AG$8,0)),"")))</f>
        <v/>
      </c>
      <c r="C103" s="17" t="str">
        <f t="shared" si="11"/>
        <v/>
      </c>
      <c r="D103" s="17" t="str">
        <f>IF($A103="","",IFERROR(INDEX(配置数据库!$B:$B,MATCH(61,$Q:$Q,0)),""))</f>
        <v/>
      </c>
      <c r="E103" t="str">
        <f>IF($A103="","",IFERROR(INDEX(配置数据库!$G:$AG,MATCH($A103,配置数据库!$A:$A,0),MATCH($B$3,配置数据库!$G$8:$AG$8,0)),""))</f>
        <v/>
      </c>
      <c r="F103" t="str">
        <f t="shared" si="12"/>
        <v/>
      </c>
      <c r="G103" t="str">
        <f t="shared" si="13"/>
        <v/>
      </c>
      <c r="H103" t="str">
        <f t="shared" si="14"/>
        <v/>
      </c>
      <c r="I103" t="str">
        <f t="shared" si="15"/>
        <v/>
      </c>
      <c r="J103" t="str">
        <f t="shared" si="16"/>
        <v/>
      </c>
      <c r="K103" t="str">
        <f t="shared" si="17"/>
        <v/>
      </c>
      <c r="L103" t="str">
        <f t="shared" si="18"/>
        <v/>
      </c>
      <c r="M103" t="str">
        <f t="shared" si="19"/>
        <v/>
      </c>
      <c r="N103" t="str">
        <f t="shared" si="20"/>
        <v/>
      </c>
      <c r="O103" t="str">
        <f t="shared" si="21"/>
        <v/>
      </c>
      <c r="P103" t="str">
        <f>IF(AND(配置数据库!$C123="售前填写",INDEX(配置数据库!$G123:$AG123,1,MATCH($B$3,配置数据库!$G$8:$AG$8,0))&lt;&gt;""),SUMPRODUCT((配置数据库!$C$10:$C123="售前填写")*(INDEX(配置数据库!$G$10:$AG123,0,MATCH($B$3,配置数据库!$G$8:$AG$8,0))&lt;&gt;"")),"")</f>
        <v/>
      </c>
      <c r="Q103" t="str">
        <f>IF(AND(配置数据库!$C123="默认配置",INDEX(配置数据库!$G123:$AG123,1,MATCH($B$3,配置数据库!$G$8:$AG$8,0))&lt;&gt;""),SUMPRODUCT((配置数据库!$C$10:$C123="默认配置")*(INDEX(配置数据库!$G$10:$AG123,0,MATCH($B$3,配置数据库!$G$8:$AG$8,0))&lt;&gt;"")),"")</f>
        <v/>
      </c>
    </row>
    <row r="104" ht="28" customHeight="1" spans="1:17">
      <c r="A104" s="17" t="str">
        <f>IFERROR(INDEX(配置数据库!$A:$A,MATCH(62,$Q:$Q,0)),"")</f>
        <v/>
      </c>
      <c r="B104" s="21" t="str">
        <f>IF($A104="","",IFERROR(LEFT(SUBSTITUTE(IFERROR(INDEX(配置数据库!$G:$AG,MATCH(62,$Q:$Q,0),MATCH($B$3,配置数据库!$G$8:$AG$8,0)),""),";","；"),FIND("；",SUBSTITUTE(IFERROR(INDEX(配置数据库!$G:$AG,MATCH(62,$Q:$Q,0),MATCH($B$3,配置数据库!$G$8:$AG$8,0)),""),";","；"))-1),IFERROR(INDEX(配置数据库!$G:$AG,MATCH(62,$Q:$Q,0),MATCH($B$3,配置数据库!$G$8:$AG$8,0)),"")))</f>
        <v/>
      </c>
      <c r="C104" s="17" t="str">
        <f t="shared" si="11"/>
        <v/>
      </c>
      <c r="D104" s="17" t="str">
        <f>IF($A104="","",IFERROR(INDEX(配置数据库!$B:$B,MATCH(62,$Q:$Q,0)),""))</f>
        <v/>
      </c>
      <c r="E104" t="str">
        <f>IF($A104="","",IFERROR(INDEX(配置数据库!$G:$AG,MATCH($A104,配置数据库!$A:$A,0),MATCH($B$3,配置数据库!$G$8:$AG$8,0)),""))</f>
        <v/>
      </c>
      <c r="F104" t="str">
        <f t="shared" si="12"/>
        <v/>
      </c>
      <c r="G104" t="str">
        <f t="shared" si="13"/>
        <v/>
      </c>
      <c r="H104" t="str">
        <f t="shared" si="14"/>
        <v/>
      </c>
      <c r="I104" t="str">
        <f t="shared" si="15"/>
        <v/>
      </c>
      <c r="J104" t="str">
        <f t="shared" si="16"/>
        <v/>
      </c>
      <c r="K104" t="str">
        <f t="shared" si="17"/>
        <v/>
      </c>
      <c r="L104" t="str">
        <f t="shared" si="18"/>
        <v/>
      </c>
      <c r="M104" t="str">
        <f t="shared" si="19"/>
        <v/>
      </c>
      <c r="N104" t="str">
        <f t="shared" si="20"/>
        <v/>
      </c>
      <c r="O104" t="str">
        <f t="shared" si="21"/>
        <v/>
      </c>
      <c r="P104" t="str">
        <f>IF(AND(配置数据库!$C124="售前填写",INDEX(配置数据库!$G124:$AG124,1,MATCH($B$3,配置数据库!$G$8:$AG$8,0))&lt;&gt;""),SUMPRODUCT((配置数据库!$C$10:$C124="售前填写")*(INDEX(配置数据库!$G$10:$AG124,0,MATCH($B$3,配置数据库!$G$8:$AG$8,0))&lt;&gt;"")),"")</f>
        <v/>
      </c>
      <c r="Q104" t="str">
        <f>IF(AND(配置数据库!$C124="默认配置",INDEX(配置数据库!$G124:$AG124,1,MATCH($B$3,配置数据库!$G$8:$AG$8,0))&lt;&gt;""),SUMPRODUCT((配置数据库!$C$10:$C124="默认配置")*(INDEX(配置数据库!$G$10:$AG124,0,MATCH($B$3,配置数据库!$G$8:$AG$8,0))&lt;&gt;"")),"")</f>
        <v/>
      </c>
    </row>
    <row r="105" ht="28" customHeight="1" spans="1:17">
      <c r="A105" s="17" t="str">
        <f>IFERROR(INDEX(配置数据库!$A:$A,MATCH(63,$Q:$Q,0)),"")</f>
        <v/>
      </c>
      <c r="B105" s="21" t="str">
        <f>IF($A105="","",IFERROR(LEFT(SUBSTITUTE(IFERROR(INDEX(配置数据库!$G:$AG,MATCH(63,$Q:$Q,0),MATCH($B$3,配置数据库!$G$8:$AG$8,0)),""),";","；"),FIND("；",SUBSTITUTE(IFERROR(INDEX(配置数据库!$G:$AG,MATCH(63,$Q:$Q,0),MATCH($B$3,配置数据库!$G$8:$AG$8,0)),""),";","；"))-1),IFERROR(INDEX(配置数据库!$G:$AG,MATCH(63,$Q:$Q,0),MATCH($B$3,配置数据库!$G$8:$AG$8,0)),"")))</f>
        <v/>
      </c>
      <c r="C105" s="17" t="str">
        <f t="shared" si="11"/>
        <v/>
      </c>
      <c r="D105" s="17" t="str">
        <f>IF($A105="","",IFERROR(INDEX(配置数据库!$B:$B,MATCH(63,$Q:$Q,0)),""))</f>
        <v/>
      </c>
      <c r="E105" t="str">
        <f>IF($A105="","",IFERROR(INDEX(配置数据库!$G:$AG,MATCH($A105,配置数据库!$A:$A,0),MATCH($B$3,配置数据库!$G$8:$AG$8,0)),""))</f>
        <v/>
      </c>
      <c r="F105" t="str">
        <f t="shared" si="12"/>
        <v/>
      </c>
      <c r="G105" t="str">
        <f t="shared" si="13"/>
        <v/>
      </c>
      <c r="H105" t="str">
        <f t="shared" si="14"/>
        <v/>
      </c>
      <c r="I105" t="str">
        <f t="shared" si="15"/>
        <v/>
      </c>
      <c r="J105" t="str">
        <f t="shared" si="16"/>
        <v/>
      </c>
      <c r="K105" t="str">
        <f t="shared" si="17"/>
        <v/>
      </c>
      <c r="L105" t="str">
        <f t="shared" si="18"/>
        <v/>
      </c>
      <c r="M105" t="str">
        <f t="shared" si="19"/>
        <v/>
      </c>
      <c r="N105" t="str">
        <f t="shared" si="20"/>
        <v/>
      </c>
      <c r="O105" t="str">
        <f t="shared" si="21"/>
        <v/>
      </c>
      <c r="P105" t="str">
        <f>IF(AND(配置数据库!$C125="售前填写",INDEX(配置数据库!$G125:$AG125,1,MATCH($B$3,配置数据库!$G$8:$AG$8,0))&lt;&gt;""),SUMPRODUCT((配置数据库!$C$10:$C125="售前填写")*(INDEX(配置数据库!$G$10:$AG125,0,MATCH($B$3,配置数据库!$G$8:$AG$8,0))&lt;&gt;"")),"")</f>
        <v/>
      </c>
      <c r="Q105" t="str">
        <f>IF(AND(配置数据库!$C125="默认配置",INDEX(配置数据库!$G125:$AG125,1,MATCH($B$3,配置数据库!$G$8:$AG$8,0))&lt;&gt;""),SUMPRODUCT((配置数据库!$C$10:$C125="默认配置")*(INDEX(配置数据库!$G$10:$AG125,0,MATCH($B$3,配置数据库!$G$8:$AG$8,0))&lt;&gt;"")),"")</f>
        <v/>
      </c>
    </row>
    <row r="106" ht="28" customHeight="1" spans="1:17">
      <c r="A106" s="17" t="str">
        <f>IFERROR(INDEX(配置数据库!$A:$A,MATCH(64,$Q:$Q,0)),"")</f>
        <v/>
      </c>
      <c r="B106" s="21" t="str">
        <f>IF($A106="","",IFERROR(LEFT(SUBSTITUTE(IFERROR(INDEX(配置数据库!$G:$AG,MATCH(64,$Q:$Q,0),MATCH($B$3,配置数据库!$G$8:$AG$8,0)),""),";","；"),FIND("；",SUBSTITUTE(IFERROR(INDEX(配置数据库!$G:$AG,MATCH(64,$Q:$Q,0),MATCH($B$3,配置数据库!$G$8:$AG$8,0)),""),";","；"))-1),IFERROR(INDEX(配置数据库!$G:$AG,MATCH(64,$Q:$Q,0),MATCH($B$3,配置数据库!$G$8:$AG$8,0)),"")))</f>
        <v/>
      </c>
      <c r="C106" s="17" t="str">
        <f t="shared" si="11"/>
        <v/>
      </c>
      <c r="D106" s="17" t="str">
        <f>IF($A106="","",IFERROR(INDEX(配置数据库!$B:$B,MATCH(64,$Q:$Q,0)),""))</f>
        <v/>
      </c>
      <c r="E106" t="str">
        <f>IF($A106="","",IFERROR(INDEX(配置数据库!$G:$AG,MATCH($A106,配置数据库!$A:$A,0),MATCH($B$3,配置数据库!$G$8:$AG$8,0)),""))</f>
        <v/>
      </c>
      <c r="F106" t="str">
        <f t="shared" si="12"/>
        <v/>
      </c>
      <c r="G106" t="str">
        <f t="shared" si="13"/>
        <v/>
      </c>
      <c r="H106" t="str">
        <f t="shared" si="14"/>
        <v/>
      </c>
      <c r="I106" t="str">
        <f t="shared" si="15"/>
        <v/>
      </c>
      <c r="J106" t="str">
        <f t="shared" si="16"/>
        <v/>
      </c>
      <c r="K106" t="str">
        <f t="shared" si="17"/>
        <v/>
      </c>
      <c r="L106" t="str">
        <f t="shared" si="18"/>
        <v/>
      </c>
      <c r="M106" t="str">
        <f t="shared" si="19"/>
        <v/>
      </c>
      <c r="N106" t="str">
        <f t="shared" si="20"/>
        <v/>
      </c>
      <c r="O106" t="str">
        <f t="shared" si="21"/>
        <v/>
      </c>
      <c r="P106" t="str">
        <f>IF(AND(配置数据库!$C126="售前填写",INDEX(配置数据库!$G126:$AG126,1,MATCH($B$3,配置数据库!$G$8:$AG$8,0))&lt;&gt;""),SUMPRODUCT((配置数据库!$C$10:$C126="售前填写")*(INDEX(配置数据库!$G$10:$AG126,0,MATCH($B$3,配置数据库!$G$8:$AG$8,0))&lt;&gt;"")),"")</f>
        <v/>
      </c>
      <c r="Q106" t="str">
        <f>IF(AND(配置数据库!$C126="默认配置",INDEX(配置数据库!$G126:$AG126,1,MATCH($B$3,配置数据库!$G$8:$AG$8,0))&lt;&gt;""),SUMPRODUCT((配置数据库!$C$10:$C126="默认配置")*(INDEX(配置数据库!$G$10:$AG126,0,MATCH($B$3,配置数据库!$G$8:$AG$8,0))&lt;&gt;"")),"")</f>
        <v/>
      </c>
    </row>
    <row r="107" ht="28" customHeight="1" spans="1:17">
      <c r="A107" s="17" t="str">
        <f>IFERROR(INDEX(配置数据库!$A:$A,MATCH(65,$Q:$Q,0)),"")</f>
        <v/>
      </c>
      <c r="B107" s="21" t="str">
        <f>IF($A107="","",IFERROR(LEFT(SUBSTITUTE(IFERROR(INDEX(配置数据库!$G:$AG,MATCH(65,$Q:$Q,0),MATCH($B$3,配置数据库!$G$8:$AG$8,0)),""),";","；"),FIND("；",SUBSTITUTE(IFERROR(INDEX(配置数据库!$G:$AG,MATCH(65,$Q:$Q,0),MATCH($B$3,配置数据库!$G$8:$AG$8,0)),""),";","；"))-1),IFERROR(INDEX(配置数据库!$G:$AG,MATCH(65,$Q:$Q,0),MATCH($B$3,配置数据库!$G$8:$AG$8,0)),"")))</f>
        <v/>
      </c>
      <c r="C107" s="17" t="str">
        <f t="shared" ref="C107:C113" si="22">IF($A107="","","自动带出")</f>
        <v/>
      </c>
      <c r="D107" s="17" t="str">
        <f>IF($A107="","",IFERROR(INDEX(配置数据库!$B:$B,MATCH(65,$Q:$Q,0)),""))</f>
        <v/>
      </c>
      <c r="E107" t="str">
        <f>IF($A107="","",IFERROR(INDEX(配置数据库!$G:$AG,MATCH($A107,配置数据库!$A:$A,0),MATCH($B$3,配置数据库!$G$8:$AG$8,0)),""))</f>
        <v/>
      </c>
      <c r="F107" t="str">
        <f t="shared" ref="F107:F113" si="23">IF(ISNUMBER(SEARCH("；",SUBSTITUTE($E107,";","；"))),TRIM(MID(SUBSTITUTE(SUBSTITUTE($E107,";","；"),"；",REPT(" ",100)),1,100)),"")</f>
        <v/>
      </c>
      <c r="G107" t="str">
        <f t="shared" ref="G107:G113" si="24">IF(ISNUMBER(SEARCH("；",SUBSTITUTE($E107,";","；"))),TRIM(MID(SUBSTITUTE(SUBSTITUTE($E107,";","；"),"；",REPT(" ",100)),101,100)),"")</f>
        <v/>
      </c>
      <c r="H107" t="str">
        <f t="shared" ref="H107:H113" si="25">IF(ISNUMBER(SEARCH("；",SUBSTITUTE($E107,";","；"))),TRIM(MID(SUBSTITUTE(SUBSTITUTE($E107,";","；"),"；",REPT(" ",100)),201,100)),"")</f>
        <v/>
      </c>
      <c r="I107" t="str">
        <f t="shared" ref="I107:I113" si="26">IF(ISNUMBER(SEARCH("；",SUBSTITUTE($E107,";","；"))),TRIM(MID(SUBSTITUTE(SUBSTITUTE($E107,";","；"),"；",REPT(" ",100)),301,100)),"")</f>
        <v/>
      </c>
      <c r="J107" t="str">
        <f t="shared" ref="J107:J113" si="27">IF(ISNUMBER(SEARCH("；",SUBSTITUTE($E107,";","；"))),TRIM(MID(SUBSTITUTE(SUBSTITUTE($E107,";","；"),"；",REPT(" ",100)),401,100)),"")</f>
        <v/>
      </c>
      <c r="K107" t="str">
        <f t="shared" ref="K107:K113" si="28">IF(ISNUMBER(SEARCH("；",SUBSTITUTE($E107,";","；"))),TRIM(MID(SUBSTITUTE(SUBSTITUTE($E107,";","；"),"；",REPT(" ",100)),501,100)),"")</f>
        <v/>
      </c>
      <c r="L107" t="str">
        <f t="shared" ref="L107:L113" si="29">IF(ISNUMBER(SEARCH("；",SUBSTITUTE($E107,";","；"))),TRIM(MID(SUBSTITUTE(SUBSTITUTE($E107,";","；"),"；",REPT(" ",100)),601,100)),"")</f>
        <v/>
      </c>
      <c r="M107" t="str">
        <f t="shared" ref="M107:M113" si="30">IF(ISNUMBER(SEARCH("；",SUBSTITUTE($E107,";","；"))),TRIM(MID(SUBSTITUTE(SUBSTITUTE($E107,";","；"),"；",REPT(" ",100)),701,100)),"")</f>
        <v/>
      </c>
      <c r="N107" t="str">
        <f t="shared" ref="N107:N113" si="31">IF(ISNUMBER(SEARCH("；",SUBSTITUTE($E107,";","；"))),TRIM(MID(SUBSTITUTE(SUBSTITUTE($E107,";","；"),"；",REPT(" ",100)),801,100)),"")</f>
        <v/>
      </c>
      <c r="O107" t="str">
        <f t="shared" ref="O107:O113" si="32">IF(ISNUMBER(SEARCH("；",SUBSTITUTE($E107,";","；"))),TRIM(MID(SUBSTITUTE(SUBSTITUTE($E107,";","；"),"；",REPT(" ",100)),901,100)),"")</f>
        <v/>
      </c>
      <c r="P107" t="str">
        <f>IF(AND(配置数据库!$C127="售前填写",INDEX(配置数据库!$G127:$AG127,1,MATCH($B$3,配置数据库!$G$8:$AG$8,0))&lt;&gt;""),SUMPRODUCT((配置数据库!$C$10:$C127="售前填写")*(INDEX(配置数据库!$G$10:$AG127,0,MATCH($B$3,配置数据库!$G$8:$AG$8,0))&lt;&gt;"")),"")</f>
        <v/>
      </c>
      <c r="Q107" t="str">
        <f>IF(AND(配置数据库!$C127="默认配置",INDEX(配置数据库!$G127:$AG127,1,MATCH($B$3,配置数据库!$G$8:$AG$8,0))&lt;&gt;""),SUMPRODUCT((配置数据库!$C$10:$C127="默认配置")*(INDEX(配置数据库!$G$10:$AG127,0,MATCH($B$3,配置数据库!$G$8:$AG$8,0))&lt;&gt;"")),"")</f>
        <v/>
      </c>
    </row>
    <row r="108" ht="28" customHeight="1" spans="1:17">
      <c r="A108" s="17" t="str">
        <f>IFERROR(INDEX(配置数据库!$A:$A,MATCH(66,$Q:$Q,0)),"")</f>
        <v/>
      </c>
      <c r="B108" s="21" t="str">
        <f>IF($A108="","",IFERROR(LEFT(SUBSTITUTE(IFERROR(INDEX(配置数据库!$G:$AG,MATCH(66,$Q:$Q,0),MATCH($B$3,配置数据库!$G$8:$AG$8,0)),""),";","；"),FIND("；",SUBSTITUTE(IFERROR(INDEX(配置数据库!$G:$AG,MATCH(66,$Q:$Q,0),MATCH($B$3,配置数据库!$G$8:$AG$8,0)),""),";","；"))-1),IFERROR(INDEX(配置数据库!$G:$AG,MATCH(66,$Q:$Q,0),MATCH($B$3,配置数据库!$G$8:$AG$8,0)),"")))</f>
        <v/>
      </c>
      <c r="C108" s="17" t="str">
        <f t="shared" si="22"/>
        <v/>
      </c>
      <c r="D108" s="17" t="str">
        <f>IF($A108="","",IFERROR(INDEX(配置数据库!$B:$B,MATCH(66,$Q:$Q,0)),""))</f>
        <v/>
      </c>
      <c r="E108" t="str">
        <f>IF($A108="","",IFERROR(INDEX(配置数据库!$G:$AG,MATCH($A108,配置数据库!$A:$A,0),MATCH($B$3,配置数据库!$G$8:$AG$8,0)),""))</f>
        <v/>
      </c>
      <c r="F108" t="str">
        <f t="shared" si="23"/>
        <v/>
      </c>
      <c r="G108" t="str">
        <f t="shared" si="24"/>
        <v/>
      </c>
      <c r="H108" t="str">
        <f t="shared" si="25"/>
        <v/>
      </c>
      <c r="I108" t="str">
        <f t="shared" si="26"/>
        <v/>
      </c>
      <c r="J108" t="str">
        <f t="shared" si="27"/>
        <v/>
      </c>
      <c r="K108" t="str">
        <f t="shared" si="28"/>
        <v/>
      </c>
      <c r="L108" t="str">
        <f t="shared" si="29"/>
        <v/>
      </c>
      <c r="M108" t="str">
        <f t="shared" si="30"/>
        <v/>
      </c>
      <c r="N108" t="str">
        <f t="shared" si="31"/>
        <v/>
      </c>
      <c r="O108" t="str">
        <f t="shared" si="32"/>
        <v/>
      </c>
      <c r="P108" t="str">
        <f>IF(AND(配置数据库!$C128="售前填写",INDEX(配置数据库!$G128:$AG128,1,MATCH($B$3,配置数据库!$G$8:$AG$8,0))&lt;&gt;""),SUMPRODUCT((配置数据库!$C$10:$C128="售前填写")*(INDEX(配置数据库!$G$10:$AG128,0,MATCH($B$3,配置数据库!$G$8:$AG$8,0))&lt;&gt;"")),"")</f>
        <v/>
      </c>
      <c r="Q108" t="str">
        <f>IF(AND(配置数据库!$C128="默认配置",INDEX(配置数据库!$G128:$AG128,1,MATCH($B$3,配置数据库!$G$8:$AG$8,0))&lt;&gt;""),SUMPRODUCT((配置数据库!$C$10:$C128="默认配置")*(INDEX(配置数据库!$G$10:$AG128,0,MATCH($B$3,配置数据库!$G$8:$AG$8,0))&lt;&gt;"")),"")</f>
        <v/>
      </c>
    </row>
    <row r="109" ht="28" customHeight="1" spans="1:17">
      <c r="A109" s="17" t="str">
        <f>IFERROR(INDEX(配置数据库!$A:$A,MATCH(67,$Q:$Q,0)),"")</f>
        <v/>
      </c>
      <c r="B109" s="21" t="str">
        <f>IF($A109="","",IFERROR(LEFT(SUBSTITUTE(IFERROR(INDEX(配置数据库!$G:$AG,MATCH(67,$Q:$Q,0),MATCH($B$3,配置数据库!$G$8:$AG$8,0)),""),";","；"),FIND("；",SUBSTITUTE(IFERROR(INDEX(配置数据库!$G:$AG,MATCH(67,$Q:$Q,0),MATCH($B$3,配置数据库!$G$8:$AG$8,0)),""),";","；"))-1),IFERROR(INDEX(配置数据库!$G:$AG,MATCH(67,$Q:$Q,0),MATCH($B$3,配置数据库!$G$8:$AG$8,0)),"")))</f>
        <v/>
      </c>
      <c r="C109" s="17" t="str">
        <f t="shared" si="22"/>
        <v/>
      </c>
      <c r="D109" s="17" t="str">
        <f>IF($A109="","",IFERROR(INDEX(配置数据库!$B:$B,MATCH(67,$Q:$Q,0)),""))</f>
        <v/>
      </c>
      <c r="E109" t="str">
        <f>IF($A109="","",IFERROR(INDEX(配置数据库!$G:$AG,MATCH($A109,配置数据库!$A:$A,0),MATCH($B$3,配置数据库!$G$8:$AG$8,0)),""))</f>
        <v/>
      </c>
      <c r="F109" t="str">
        <f t="shared" si="23"/>
        <v/>
      </c>
      <c r="G109" t="str">
        <f t="shared" si="24"/>
        <v/>
      </c>
      <c r="H109" t="str">
        <f t="shared" si="25"/>
        <v/>
      </c>
      <c r="I109" t="str">
        <f t="shared" si="26"/>
        <v/>
      </c>
      <c r="J109" t="str">
        <f t="shared" si="27"/>
        <v/>
      </c>
      <c r="K109" t="str">
        <f t="shared" si="28"/>
        <v/>
      </c>
      <c r="L109" t="str">
        <f t="shared" si="29"/>
        <v/>
      </c>
      <c r="M109" t="str">
        <f t="shared" si="30"/>
        <v/>
      </c>
      <c r="N109" t="str">
        <f t="shared" si="31"/>
        <v/>
      </c>
      <c r="O109" t="str">
        <f t="shared" si="32"/>
        <v/>
      </c>
      <c r="P109" t="str">
        <f>IF(AND(配置数据库!$C129="售前填写",INDEX(配置数据库!$G129:$AG129,1,MATCH($B$3,配置数据库!$G$8:$AG$8,0))&lt;&gt;""),SUMPRODUCT((配置数据库!$C$10:$C129="售前填写")*(INDEX(配置数据库!$G$10:$AG129,0,MATCH($B$3,配置数据库!$G$8:$AG$8,0))&lt;&gt;"")),"")</f>
        <v/>
      </c>
      <c r="Q109" t="str">
        <f>IF(AND(配置数据库!$C129="默认配置",INDEX(配置数据库!$G129:$AG129,1,MATCH($B$3,配置数据库!$G$8:$AG$8,0))&lt;&gt;""),SUMPRODUCT((配置数据库!$C$10:$C129="默认配置")*(INDEX(配置数据库!$G$10:$AG129,0,MATCH($B$3,配置数据库!$G$8:$AG$8,0))&lt;&gt;"")),"")</f>
        <v/>
      </c>
    </row>
    <row r="110" ht="28" customHeight="1" spans="1:17">
      <c r="A110" s="17" t="str">
        <f>IFERROR(INDEX(配置数据库!$A:$A,MATCH(68,$Q:$Q,0)),"")</f>
        <v/>
      </c>
      <c r="B110" s="21" t="str">
        <f>IF($A110="","",IFERROR(LEFT(SUBSTITUTE(IFERROR(INDEX(配置数据库!$G:$AG,MATCH(68,$Q:$Q,0),MATCH($B$3,配置数据库!$G$8:$AG$8,0)),""),";","；"),FIND("；",SUBSTITUTE(IFERROR(INDEX(配置数据库!$G:$AG,MATCH(68,$Q:$Q,0),MATCH($B$3,配置数据库!$G$8:$AG$8,0)),""),";","；"))-1),IFERROR(INDEX(配置数据库!$G:$AG,MATCH(68,$Q:$Q,0),MATCH($B$3,配置数据库!$G$8:$AG$8,0)),"")))</f>
        <v/>
      </c>
      <c r="C110" s="17" t="str">
        <f t="shared" si="22"/>
        <v/>
      </c>
      <c r="D110" s="17" t="str">
        <f>IF($A110="","",IFERROR(INDEX(配置数据库!$B:$B,MATCH(68,$Q:$Q,0)),""))</f>
        <v/>
      </c>
      <c r="E110" t="str">
        <f>IF($A110="","",IFERROR(INDEX(配置数据库!$G:$AG,MATCH($A110,配置数据库!$A:$A,0),MATCH($B$3,配置数据库!$G$8:$AG$8,0)),""))</f>
        <v/>
      </c>
      <c r="F110" t="str">
        <f t="shared" si="23"/>
        <v/>
      </c>
      <c r="G110" t="str">
        <f t="shared" si="24"/>
        <v/>
      </c>
      <c r="H110" t="str">
        <f t="shared" si="25"/>
        <v/>
      </c>
      <c r="I110" t="str">
        <f t="shared" si="26"/>
        <v/>
      </c>
      <c r="J110" t="str">
        <f t="shared" si="27"/>
        <v/>
      </c>
      <c r="K110" t="str">
        <f t="shared" si="28"/>
        <v/>
      </c>
      <c r="L110" t="str">
        <f t="shared" si="29"/>
        <v/>
      </c>
      <c r="M110" t="str">
        <f t="shared" si="30"/>
        <v/>
      </c>
      <c r="N110" t="str">
        <f t="shared" si="31"/>
        <v/>
      </c>
      <c r="O110" t="str">
        <f t="shared" si="32"/>
        <v/>
      </c>
      <c r="P110" t="str">
        <f>IF(AND(配置数据库!$C130="售前填写",INDEX(配置数据库!$G130:$AG130,1,MATCH($B$3,配置数据库!$G$8:$AG$8,0))&lt;&gt;""),SUMPRODUCT((配置数据库!$C$10:$C130="售前填写")*(INDEX(配置数据库!$G$10:$AG130,0,MATCH($B$3,配置数据库!$G$8:$AG$8,0))&lt;&gt;"")),"")</f>
        <v/>
      </c>
      <c r="Q110" t="str">
        <f>IF(AND(配置数据库!$C130="默认配置",INDEX(配置数据库!$G130:$AG130,1,MATCH($B$3,配置数据库!$G$8:$AG$8,0))&lt;&gt;""),SUMPRODUCT((配置数据库!$C$10:$C130="默认配置")*(INDEX(配置数据库!$G$10:$AG130,0,MATCH($B$3,配置数据库!$G$8:$AG$8,0))&lt;&gt;"")),"")</f>
        <v/>
      </c>
    </row>
    <row r="111" ht="28" customHeight="1" spans="1:17">
      <c r="A111" s="17" t="str">
        <f>IFERROR(INDEX(配置数据库!$A:$A,MATCH(69,$Q:$Q,0)),"")</f>
        <v/>
      </c>
      <c r="B111" s="21" t="str">
        <f>IF($A111="","",IFERROR(LEFT(SUBSTITUTE(IFERROR(INDEX(配置数据库!$G:$AG,MATCH(69,$Q:$Q,0),MATCH($B$3,配置数据库!$G$8:$AG$8,0)),""),";","；"),FIND("；",SUBSTITUTE(IFERROR(INDEX(配置数据库!$G:$AG,MATCH(69,$Q:$Q,0),MATCH($B$3,配置数据库!$G$8:$AG$8,0)),""),";","；"))-1),IFERROR(INDEX(配置数据库!$G:$AG,MATCH(69,$Q:$Q,0),MATCH($B$3,配置数据库!$G$8:$AG$8,0)),"")))</f>
        <v/>
      </c>
      <c r="C111" s="17" t="str">
        <f t="shared" si="22"/>
        <v/>
      </c>
      <c r="D111" s="17" t="str">
        <f>IF($A111="","",IFERROR(INDEX(配置数据库!$B:$B,MATCH(69,$Q:$Q,0)),""))</f>
        <v/>
      </c>
      <c r="E111" t="str">
        <f>IF($A111="","",IFERROR(INDEX(配置数据库!$G:$AG,MATCH($A111,配置数据库!$A:$A,0),MATCH($B$3,配置数据库!$G$8:$AG$8,0)),""))</f>
        <v/>
      </c>
      <c r="F111" t="str">
        <f t="shared" si="23"/>
        <v/>
      </c>
      <c r="G111" t="str">
        <f t="shared" si="24"/>
        <v/>
      </c>
      <c r="H111" t="str">
        <f t="shared" si="25"/>
        <v/>
      </c>
      <c r="I111" t="str">
        <f t="shared" si="26"/>
        <v/>
      </c>
      <c r="J111" t="str">
        <f t="shared" si="27"/>
        <v/>
      </c>
      <c r="K111" t="str">
        <f t="shared" si="28"/>
        <v/>
      </c>
      <c r="L111" t="str">
        <f t="shared" si="29"/>
        <v/>
      </c>
      <c r="M111" t="str">
        <f t="shared" si="30"/>
        <v/>
      </c>
      <c r="N111" t="str">
        <f t="shared" si="31"/>
        <v/>
      </c>
      <c r="O111" t="str">
        <f t="shared" si="32"/>
        <v/>
      </c>
      <c r="P111" t="str">
        <f>IF(AND(配置数据库!$C131="售前填写",INDEX(配置数据库!$G131:$AG131,1,MATCH($B$3,配置数据库!$G$8:$AG$8,0))&lt;&gt;""),SUMPRODUCT((配置数据库!$C$10:$C131="售前填写")*(INDEX(配置数据库!$G$10:$AG131,0,MATCH($B$3,配置数据库!$G$8:$AG$8,0))&lt;&gt;"")),"")</f>
        <v/>
      </c>
      <c r="Q111" t="str">
        <f>IF(AND(配置数据库!$C131="默认配置",INDEX(配置数据库!$G131:$AG131,1,MATCH($B$3,配置数据库!$G$8:$AG$8,0))&lt;&gt;""),SUMPRODUCT((配置数据库!$C$10:$C131="默认配置")*(INDEX(配置数据库!$G$10:$AG131,0,MATCH($B$3,配置数据库!$G$8:$AG$8,0))&lt;&gt;"")),"")</f>
        <v/>
      </c>
    </row>
    <row r="112" ht="28" customHeight="1" spans="1:17">
      <c r="A112" s="17" t="str">
        <f>IFERROR(INDEX(配置数据库!$A:$A,MATCH(70,$Q:$Q,0)),"")</f>
        <v/>
      </c>
      <c r="B112" s="21" t="str">
        <f>IF($A112="","",IFERROR(LEFT(SUBSTITUTE(IFERROR(INDEX(配置数据库!$G:$AG,MATCH(70,$Q:$Q,0),MATCH($B$3,配置数据库!$G$8:$AG$8,0)),""),";","；"),FIND("；",SUBSTITUTE(IFERROR(INDEX(配置数据库!$G:$AG,MATCH(70,$Q:$Q,0),MATCH($B$3,配置数据库!$G$8:$AG$8,0)),""),";","；"))-1),IFERROR(INDEX(配置数据库!$G:$AG,MATCH(70,$Q:$Q,0),MATCH($B$3,配置数据库!$G$8:$AG$8,0)),"")))</f>
        <v/>
      </c>
      <c r="C112" s="17" t="str">
        <f t="shared" si="22"/>
        <v/>
      </c>
      <c r="D112" s="17" t="str">
        <f>IF($A112="","",IFERROR(INDEX(配置数据库!$B:$B,MATCH(70,$Q:$Q,0)),""))</f>
        <v/>
      </c>
      <c r="E112" t="str">
        <f>IF($A112="","",IFERROR(INDEX(配置数据库!$G:$AG,MATCH($A112,配置数据库!$A:$A,0),MATCH($B$3,配置数据库!$G$8:$AG$8,0)),""))</f>
        <v/>
      </c>
      <c r="F112" t="str">
        <f t="shared" si="23"/>
        <v/>
      </c>
      <c r="G112" t="str">
        <f t="shared" si="24"/>
        <v/>
      </c>
      <c r="H112" t="str">
        <f t="shared" si="25"/>
        <v/>
      </c>
      <c r="I112" t="str">
        <f t="shared" si="26"/>
        <v/>
      </c>
      <c r="J112" t="str">
        <f t="shared" si="27"/>
        <v/>
      </c>
      <c r="K112" t="str">
        <f t="shared" si="28"/>
        <v/>
      </c>
      <c r="L112" t="str">
        <f t="shared" si="29"/>
        <v/>
      </c>
      <c r="M112" t="str">
        <f t="shared" si="30"/>
        <v/>
      </c>
      <c r="N112" t="str">
        <f t="shared" si="31"/>
        <v/>
      </c>
      <c r="O112" t="str">
        <f t="shared" si="32"/>
        <v/>
      </c>
      <c r="P112" t="str">
        <f>IF(AND(配置数据库!$C132="售前填写",INDEX(配置数据库!$G132:$AG132,1,MATCH($B$3,配置数据库!$G$8:$AG$8,0))&lt;&gt;""),SUMPRODUCT((配置数据库!$C$10:$C132="售前填写")*(INDEX(配置数据库!$G$10:$AG132,0,MATCH($B$3,配置数据库!$G$8:$AG$8,0))&lt;&gt;"")),"")</f>
        <v/>
      </c>
      <c r="Q112" t="str">
        <f>IF(AND(配置数据库!$C132="默认配置",INDEX(配置数据库!$G132:$AG132,1,MATCH($B$3,配置数据库!$G$8:$AG$8,0))&lt;&gt;""),SUMPRODUCT((配置数据库!$C$10:$C132="默认配置")*(INDEX(配置数据库!$G$10:$AG132,0,MATCH($B$3,配置数据库!$G$8:$AG$8,0))&lt;&gt;"")),"")</f>
        <v/>
      </c>
    </row>
    <row r="113" ht="28" customHeight="1" spans="1:17">
      <c r="A113" s="17" t="str">
        <f>IFERROR(INDEX(配置数据库!$A:$A,MATCH(71,$Q:$Q,0)),"")</f>
        <v/>
      </c>
      <c r="B113" s="21" t="str">
        <f>IF($A113="","",IFERROR(LEFT(SUBSTITUTE(IFERROR(INDEX(配置数据库!$G:$AG,MATCH(71,$Q:$Q,0),MATCH($B$3,配置数据库!$G$8:$AG$8,0)),""),";","；"),FIND("；",SUBSTITUTE(IFERROR(INDEX(配置数据库!$G:$AG,MATCH(71,$Q:$Q,0),MATCH($B$3,配置数据库!$G$8:$AG$8,0)),""),";","；"))-1),IFERROR(INDEX(配置数据库!$G:$AG,MATCH(71,$Q:$Q,0),MATCH($B$3,配置数据库!$G$8:$AG$8,0)),"")))</f>
        <v/>
      </c>
      <c r="C113" s="17" t="str">
        <f t="shared" si="22"/>
        <v/>
      </c>
      <c r="D113" s="17" t="str">
        <f>IF($A113="","",IFERROR(INDEX(配置数据库!$B:$B,MATCH(71,$Q:$Q,0)),""))</f>
        <v/>
      </c>
      <c r="E113" t="str">
        <f>IF($A113="","",IFERROR(INDEX(配置数据库!$G:$AG,MATCH($A113,配置数据库!$A:$A,0),MATCH($B$3,配置数据库!$G$8:$AG$8,0)),""))</f>
        <v/>
      </c>
      <c r="F113" t="str">
        <f t="shared" si="23"/>
        <v/>
      </c>
      <c r="G113" t="str">
        <f t="shared" si="24"/>
        <v/>
      </c>
      <c r="H113" t="str">
        <f t="shared" si="25"/>
        <v/>
      </c>
      <c r="I113" t="str">
        <f t="shared" si="26"/>
        <v/>
      </c>
      <c r="J113" t="str">
        <f t="shared" si="27"/>
        <v/>
      </c>
      <c r="K113" t="str">
        <f t="shared" si="28"/>
        <v/>
      </c>
      <c r="L113" t="str">
        <f t="shared" si="29"/>
        <v/>
      </c>
      <c r="M113" t="str">
        <f t="shared" si="30"/>
        <v/>
      </c>
      <c r="N113" t="str">
        <f t="shared" si="31"/>
        <v/>
      </c>
      <c r="O113" t="str">
        <f t="shared" si="32"/>
        <v/>
      </c>
      <c r="P113" t="str">
        <f>IF(AND(配置数据库!$C133="售前填写",INDEX(配置数据库!$G133:$AG133,1,MATCH($B$3,配置数据库!$G$8:$AG$8,0))&lt;&gt;""),SUMPRODUCT((配置数据库!$C$10:$C133="售前填写")*(INDEX(配置数据库!$G$10:$AG133,0,MATCH($B$3,配置数据库!$G$8:$AG$8,0))&lt;&gt;"")),"")</f>
        <v/>
      </c>
      <c r="Q113" t="str">
        <f>IF(AND(配置数据库!$C133="默认配置",INDEX(配置数据库!$G133:$AG133,1,MATCH($B$3,配置数据库!$G$8:$AG$8,0))&lt;&gt;""),SUMPRODUCT((配置数据库!$C$10:$C133="默认配置")*(INDEX(配置数据库!$G$10:$AG133,0,MATCH($B$3,配置数据库!$G$8:$AG$8,0))&lt;&gt;"")),"")</f>
        <v/>
      </c>
    </row>
    <row r="114" spans="1:17">
      <c r="P114" t="str">
        <f>IF(AND(配置数据库!$C134="售前填写",INDEX(配置数据库!$G134:$AG134,1,MATCH($B$3,配置数据库!$G$8:$AG$8,0))&lt;&gt;""),SUMPRODUCT((配置数据库!$C$10:$C134="售前填写")*(INDEX(配置数据库!$G$10:$AG134,0,MATCH($B$3,配置数据库!$G$8:$AG$8,0))&lt;&gt;"")),"")</f>
        <v/>
      </c>
      <c r="Q114" t="str">
        <f>IF(AND(配置数据库!$C134="默认配置",INDEX(配置数据库!$G134:$AG134,1,MATCH($B$3,配置数据库!$G$8:$AG$8,0))&lt;&gt;""),SUMPRODUCT((配置数据库!$C$10:$C134="默认配置")*(INDEX(配置数据库!$G$10:$AG134,0,MATCH($B$3,配置数据库!$G$8:$AG$8,0))&lt;&gt;"")),"")</f>
        <v/>
      </c>
    </row>
    <row r="115" spans="1:17">
      <c r="P115" t="str">
        <f>IF(AND(配置数据库!$C135="售前填写",INDEX(配置数据库!$G135:$AG135,1,MATCH($B$3,配置数据库!$G$8:$AG$8,0))&lt;&gt;""),SUMPRODUCT((配置数据库!$C$10:$C135="售前填写")*(INDEX(配置数据库!$G$10:$AG135,0,MATCH($B$3,配置数据库!$G$8:$AG$8,0))&lt;&gt;"")),"")</f>
        <v/>
      </c>
      <c r="Q115" t="str">
        <f>IF(AND(配置数据库!$C135="默认配置",INDEX(配置数据库!$G135:$AG135,1,MATCH($B$3,配置数据库!$G$8:$AG$8,0))&lt;&gt;""),SUMPRODUCT((配置数据库!$C$10:$C135="默认配置")*(INDEX(配置数据库!$G$10:$AG135,0,MATCH($B$3,配置数据库!$G$8:$AG$8,0))&lt;&gt;"")),"")</f>
        <v/>
      </c>
    </row>
    <row r="116" spans="1:17">
      <c r="P116" t="str">
        <f>IF(AND(配置数据库!$C136="售前填写",INDEX(配置数据库!$G136:$AG136,1,MATCH($B$3,配置数据库!$G$8:$AG$8,0))&lt;&gt;""),SUMPRODUCT((配置数据库!$C$10:$C136="售前填写")*(INDEX(配置数据库!$G$10:$AG136,0,MATCH($B$3,配置数据库!$G$8:$AG$8,0))&lt;&gt;"")),"")</f>
        <v/>
      </c>
      <c r="Q116" t="str">
        <f>IF(AND(配置数据库!$C136="默认配置",INDEX(配置数据库!$G136:$AG136,1,MATCH($B$3,配置数据库!$G$8:$AG$8,0))&lt;&gt;""),SUMPRODUCT((配置数据库!$C$10:$C136="默认配置")*(INDEX(配置数据库!$G$10:$AG136,0,MATCH($B$3,配置数据库!$G$8:$AG$8,0))&lt;&gt;"")),"")</f>
        <v/>
      </c>
    </row>
    <row r="117" spans="1:17">
      <c r="P117" t="str">
        <f>IF(AND(配置数据库!$C137="售前填写",INDEX(配置数据库!$G137:$AG137,1,MATCH($B$3,配置数据库!$G$8:$AG$8,0))&lt;&gt;""),SUMPRODUCT((配置数据库!$C$10:$C137="售前填写")*(INDEX(配置数据库!$G$10:$AG137,0,MATCH($B$3,配置数据库!$G$8:$AG$8,0))&lt;&gt;"")),"")</f>
        <v/>
      </c>
      <c r="Q117" t="str">
        <f>IF(AND(配置数据库!$C137="默认配置",INDEX(配置数据库!$G137:$AG137,1,MATCH($B$3,配置数据库!$G$8:$AG$8,0))&lt;&gt;""),SUMPRODUCT((配置数据库!$C$10:$C137="默认配置")*(INDEX(配置数据库!$G$10:$AG137,0,MATCH($B$3,配置数据库!$G$8:$AG$8,0))&lt;&gt;"")),"")</f>
        <v/>
      </c>
    </row>
    <row r="118" spans="1:17">
      <c r="P118" t="str">
        <f>IF(AND(配置数据库!$C138="售前填写",INDEX(配置数据库!$G138:$AG138,1,MATCH($B$3,配置数据库!$G$8:$AG$8,0))&lt;&gt;""),SUMPRODUCT((配置数据库!$C$10:$C138="售前填写")*(INDEX(配置数据库!$G$10:$AG138,0,MATCH($B$3,配置数据库!$G$8:$AG$8,0))&lt;&gt;"")),"")</f>
        <v/>
      </c>
      <c r="Q118" t="str">
        <f>IF(AND(配置数据库!$C138="默认配置",INDEX(配置数据库!$G138:$AG138,1,MATCH($B$3,配置数据库!$G$8:$AG$8,0))&lt;&gt;""),SUMPRODUCT((配置数据库!$C$10:$C138="默认配置")*(INDEX(配置数据库!$G$10:$AG138,0,MATCH($B$3,配置数据库!$G$8:$AG$8,0))&lt;&gt;"")),"")</f>
        <v/>
      </c>
    </row>
    <row r="119" spans="1:17">
      <c r="P119" t="str">
        <f>IF(AND(配置数据库!$C139="售前填写",INDEX(配置数据库!$G139:$AG139,1,MATCH($B$3,配置数据库!$G$8:$AG$8,0))&lt;&gt;""),SUMPRODUCT((配置数据库!$C$10:$C139="售前填写")*(INDEX(配置数据库!$G$10:$AG139,0,MATCH($B$3,配置数据库!$G$8:$AG$8,0))&lt;&gt;"")),"")</f>
        <v/>
      </c>
      <c r="Q119" t="str">
        <f>IF(AND(配置数据库!$C139="默认配置",INDEX(配置数据库!$G139:$AG139,1,MATCH($B$3,配置数据库!$G$8:$AG$8,0))&lt;&gt;""),SUMPRODUCT((配置数据库!$C$10:$C139="默认配置")*(INDEX(配置数据库!$G$10:$AG139,0,MATCH($B$3,配置数据库!$G$8:$AG$8,0))&lt;&gt;"")),"")</f>
        <v/>
      </c>
    </row>
    <row r="120" spans="1:17">
      <c r="P120" t="str">
        <f>IF(AND(配置数据库!$C140="售前填写",INDEX(配置数据库!$G140:$AG140,1,MATCH($B$3,配置数据库!$G$8:$AG$8,0))&lt;&gt;""),SUMPRODUCT((配置数据库!$C$10:$C140="售前填写")*(INDEX(配置数据库!$G$10:$AG140,0,MATCH($B$3,配置数据库!$G$8:$AG$8,0))&lt;&gt;"")),"")</f>
        <v/>
      </c>
      <c r="Q120" t="str">
        <f>IF(AND(配置数据库!$C140="默认配置",INDEX(配置数据库!$G140:$AG140,1,MATCH($B$3,配置数据库!$G$8:$AG$8,0))&lt;&gt;""),SUMPRODUCT((配置数据库!$C$10:$C140="默认配置")*(INDEX(配置数据库!$G$10:$AG140,0,MATCH($B$3,配置数据库!$G$8:$AG$8,0))&lt;&gt;"")),"")</f>
        <v/>
      </c>
    </row>
    <row r="121" spans="1:17">
      <c r="P121" t="str">
        <f>IF(AND(配置数据库!$C141="售前填写",INDEX(配置数据库!$G141:$AG141,1,MATCH($B$3,配置数据库!$G$8:$AG$8,0))&lt;&gt;""),SUMPRODUCT((配置数据库!$C$10:$C141="售前填写")*(INDEX(配置数据库!$G$10:$AG141,0,MATCH($B$3,配置数据库!$G$8:$AG$8,0))&lt;&gt;"")),"")</f>
        <v/>
      </c>
      <c r="Q121" t="str">
        <f>IF(AND(配置数据库!$C141="默认配置",INDEX(配置数据库!$G141:$AG141,1,MATCH($B$3,配置数据库!$G$8:$AG$8,0))&lt;&gt;""),SUMPRODUCT((配置数据库!$C$10:$C141="默认配置")*(INDEX(配置数据库!$G$10:$AG141,0,MATCH($B$3,配置数据库!$G$8:$AG$8,0))&lt;&gt;"")),"")</f>
        <v/>
      </c>
    </row>
    <row r="122" spans="1:17">
      <c r="P122" t="str">
        <f>IF(AND(配置数据库!$C142="售前填写",INDEX(配置数据库!$G142:$AG142,1,MATCH($B$3,配置数据库!$G$8:$AG$8,0))&lt;&gt;""),SUMPRODUCT((配置数据库!$C$10:$C142="售前填写")*(INDEX(配置数据库!$G$10:$AG142,0,MATCH($B$3,配置数据库!$G$8:$AG$8,0))&lt;&gt;"")),"")</f>
        <v/>
      </c>
      <c r="Q122" t="str">
        <f>IF(AND(配置数据库!$C142="默认配置",INDEX(配置数据库!$G142:$AG142,1,MATCH($B$3,配置数据库!$G$8:$AG$8,0))&lt;&gt;""),SUMPRODUCT((配置数据库!$C$10:$C142="默认配置")*(INDEX(配置数据库!$G$10:$AG142,0,MATCH($B$3,配置数据库!$G$8:$AG$8,0))&lt;&gt;"")),"")</f>
        <v/>
      </c>
    </row>
    <row r="123" spans="1:17">
      <c r="P123" t="str">
        <f>IF(AND(配置数据库!$C143="售前填写",INDEX(配置数据库!$G143:$AG143,1,MATCH($B$3,配置数据库!$G$8:$AG$8,0))&lt;&gt;""),SUMPRODUCT((配置数据库!$C$10:$C143="售前填写")*(INDEX(配置数据库!$G$10:$AG143,0,MATCH($B$3,配置数据库!$G$8:$AG$8,0))&lt;&gt;"")),"")</f>
        <v/>
      </c>
      <c r="Q123" t="str">
        <f>IF(AND(配置数据库!$C143="默认配置",INDEX(配置数据库!$G143:$AG143,1,MATCH($B$3,配置数据库!$G$8:$AG$8,0))&lt;&gt;""),SUMPRODUCT((配置数据库!$C$10:$C143="默认配置")*(INDEX(配置数据库!$G$10:$AG143,0,MATCH($B$3,配置数据库!$G$8:$AG$8,0))&lt;&gt;"")),"")</f>
        <v/>
      </c>
    </row>
    <row r="124" spans="1:17">
      <c r="P124" t="str">
        <f>IF(AND(配置数据库!$C144="售前填写",INDEX(配置数据库!$G144:$AG144,1,MATCH($B$3,配置数据库!$G$8:$AG$8,0))&lt;&gt;""),SUMPRODUCT((配置数据库!$C$10:$C144="售前填写")*(INDEX(配置数据库!$G$10:$AG144,0,MATCH($B$3,配置数据库!$G$8:$AG$8,0))&lt;&gt;"")),"")</f>
        <v/>
      </c>
      <c r="Q124" t="str">
        <f>IF(AND(配置数据库!$C144="默认配置",INDEX(配置数据库!$G144:$AG144,1,MATCH($B$3,配置数据库!$G$8:$AG$8,0))&lt;&gt;""),SUMPRODUCT((配置数据库!$C$10:$C144="默认配置")*(INDEX(配置数据库!$G$10:$AG144,0,MATCH($B$3,配置数据库!$G$8:$AG$8,0))&lt;&gt;"")),"")</f>
        <v/>
      </c>
    </row>
    <row r="125" spans="1:17">
      <c r="P125" t="str">
        <f>IF(AND(配置数据库!$C145="售前填写",INDEX(配置数据库!$G145:$AG145,1,MATCH($B$3,配置数据库!$G$8:$AG$8,0))&lt;&gt;""),SUMPRODUCT((配置数据库!$C$10:$C145="售前填写")*(INDEX(配置数据库!$G$10:$AG145,0,MATCH($B$3,配置数据库!$G$8:$AG$8,0))&lt;&gt;"")),"")</f>
        <v/>
      </c>
      <c r="Q125" t="str">
        <f>IF(AND(配置数据库!$C145="默认配置",INDEX(配置数据库!$G145:$AG145,1,MATCH($B$3,配置数据库!$G$8:$AG$8,0))&lt;&gt;""),SUMPRODUCT((配置数据库!$C$10:$C145="默认配置")*(INDEX(配置数据库!$G$10:$AG145,0,MATCH($B$3,配置数据库!$G$8:$AG$8,0))&lt;&gt;"")),"")</f>
        <v/>
      </c>
    </row>
    <row r="126" spans="1:17">
      <c r="P126" t="str">
        <f>IF(AND(配置数据库!$C146="售前填写",INDEX(配置数据库!$G146:$AG146,1,MATCH($B$3,配置数据库!$G$8:$AG$8,0))&lt;&gt;""),SUMPRODUCT((配置数据库!$C$10:$C146="售前填写")*(INDEX(配置数据库!$G$10:$AG146,0,MATCH($B$3,配置数据库!$G$8:$AG$8,0))&lt;&gt;"")),"")</f>
        <v/>
      </c>
      <c r="Q126" t="str">
        <f>IF(AND(配置数据库!$C146="默认配置",INDEX(配置数据库!$G146:$AG146,1,MATCH($B$3,配置数据库!$G$8:$AG$8,0))&lt;&gt;""),SUMPRODUCT((配置数据库!$C$10:$C146="默认配置")*(INDEX(配置数据库!$G$10:$AG146,0,MATCH($B$3,配置数据库!$G$8:$AG$8,0))&lt;&gt;"")),"")</f>
        <v/>
      </c>
    </row>
    <row r="127" spans="1:17">
      <c r="P127" t="str">
        <f>IF(AND(配置数据库!$C147="售前填写",INDEX(配置数据库!$G147:$AG147,1,MATCH($B$3,配置数据库!$G$8:$AG$8,0))&lt;&gt;""),SUMPRODUCT((配置数据库!$C$10:$C147="售前填写")*(INDEX(配置数据库!$G$10:$AG147,0,MATCH($B$3,配置数据库!$G$8:$AG$8,0))&lt;&gt;"")),"")</f>
        <v/>
      </c>
      <c r="Q127" t="str">
        <f>IF(AND(配置数据库!$C147="默认配置",INDEX(配置数据库!$G147:$AG147,1,MATCH($B$3,配置数据库!$G$8:$AG$8,0))&lt;&gt;""),SUMPRODUCT((配置数据库!$C$10:$C147="默认配置")*(INDEX(配置数据库!$G$10:$AG147,0,MATCH($B$3,配置数据库!$G$8:$AG$8,0))&lt;&gt;"")),"")</f>
        <v/>
      </c>
    </row>
    <row r="128" spans="1:17">
      <c r="P128" t="str">
        <f>IF(AND(配置数据库!$C148="售前填写",INDEX(配置数据库!$G148:$AG148,1,MATCH($B$3,配置数据库!$G$8:$AG$8,0))&lt;&gt;""),SUMPRODUCT((配置数据库!$C$10:$C148="售前填写")*(INDEX(配置数据库!$G$10:$AG148,0,MATCH($B$3,配置数据库!$G$8:$AG$8,0))&lt;&gt;"")),"")</f>
        <v/>
      </c>
      <c r="Q128" t="str">
        <f>IF(AND(配置数据库!$C148="默认配置",INDEX(配置数据库!$G148:$AG148,1,MATCH($B$3,配置数据库!$G$8:$AG$8,0))&lt;&gt;""),SUMPRODUCT((配置数据库!$C$10:$C148="默认配置")*(INDEX(配置数据库!$G$10:$AG148,0,MATCH($B$3,配置数据库!$G$8:$AG$8,0))&lt;&gt;"")),"")</f>
        <v/>
      </c>
    </row>
    <row r="129" spans="16:17">
      <c r="P129" t="str">
        <f>IF(AND(配置数据库!$C149="售前填写",INDEX(配置数据库!$G149:$AG149,1,MATCH($B$3,配置数据库!$G$8:$AG$8,0))&lt;&gt;""),SUMPRODUCT((配置数据库!$C$10:$C149="售前填写")*(INDEX(配置数据库!$G$10:$AG149,0,MATCH($B$3,配置数据库!$G$8:$AG$8,0))&lt;&gt;"")),"")</f>
        <v/>
      </c>
      <c r="Q129" t="str">
        <f>IF(AND(配置数据库!$C149="默认配置",INDEX(配置数据库!$G149:$AG149,1,MATCH($B$3,配置数据库!$G$8:$AG$8,0))&lt;&gt;""),SUMPRODUCT((配置数据库!$C$10:$C149="默认配置")*(INDEX(配置数据库!$G$10:$AG149,0,MATCH($B$3,配置数据库!$G$8:$AG$8,0))&lt;&gt;"")),"")</f>
        <v/>
      </c>
    </row>
    <row r="130" spans="16:17">
      <c r="P130" t="str">
        <f>IF(AND(配置数据库!$C150="售前填写",INDEX(配置数据库!$G150:$AG150,1,MATCH($B$3,配置数据库!$G$8:$AG$8,0))&lt;&gt;""),SUMPRODUCT((配置数据库!$C$10:$C150="售前填写")*(INDEX(配置数据库!$G$10:$AG150,0,MATCH($B$3,配置数据库!$G$8:$AG$8,0))&lt;&gt;"")),"")</f>
        <v/>
      </c>
      <c r="Q130" t="str">
        <f>IF(AND(配置数据库!$C150="默认配置",INDEX(配置数据库!$G150:$AG150,1,MATCH($B$3,配置数据库!$G$8:$AG$8,0))&lt;&gt;""),SUMPRODUCT((配置数据库!$C$10:$C150="默认配置")*(INDEX(配置数据库!$G$10:$AG150,0,MATCH($B$3,配置数据库!$G$8:$AG$8,0))&lt;&gt;"")),"")</f>
        <v/>
      </c>
    </row>
    <row r="131" spans="16:17">
      <c r="P131" t="str">
        <f>IF(AND(配置数据库!$C151="售前填写",INDEX(配置数据库!$G151:$AG151,1,MATCH($B$3,配置数据库!$G$8:$AG$8,0))&lt;&gt;""),SUMPRODUCT((配置数据库!$C$10:$C151="售前填写")*(INDEX(配置数据库!$G$10:$AG151,0,MATCH($B$3,配置数据库!$G$8:$AG$8,0))&lt;&gt;"")),"")</f>
        <v/>
      </c>
      <c r="Q131" t="str">
        <f>IF(AND(配置数据库!$C151="默认配置",INDEX(配置数据库!$G151:$AG151,1,MATCH($B$3,配置数据库!$G$8:$AG$8,0))&lt;&gt;""),SUMPRODUCT((配置数据库!$C$10:$C151="默认配置")*(INDEX(配置数据库!$G$10:$AG151,0,MATCH($B$3,配置数据库!$G$8:$AG$8,0))&lt;&gt;"")),"")</f>
        <v/>
      </c>
    </row>
    <row r="132" spans="16:17">
      <c r="P132" t="str">
        <f>IF(AND(配置数据库!$C152="售前填写",INDEX(配置数据库!$G152:$AG152,1,MATCH($B$3,配置数据库!$G$8:$AG$8,0))&lt;&gt;""),SUMPRODUCT((配置数据库!$C$10:$C152="售前填写")*(INDEX(配置数据库!$G$10:$AG152,0,MATCH($B$3,配置数据库!$G$8:$AG$8,0))&lt;&gt;"")),"")</f>
        <v/>
      </c>
      <c r="Q132" t="str">
        <f>IF(AND(配置数据库!$C152="默认配置",INDEX(配置数据库!$G152:$AG152,1,MATCH($B$3,配置数据库!$G$8:$AG$8,0))&lt;&gt;""),SUMPRODUCT((配置数据库!$C$10:$C152="默认配置")*(INDEX(配置数据库!$G$10:$AG152,0,MATCH($B$3,配置数据库!$G$8:$AG$8,0))&lt;&gt;"")),"")</f>
        <v/>
      </c>
    </row>
    <row r="133" spans="16:17">
      <c r="P133" t="str">
        <f>IF(AND(配置数据库!$C153="售前填写",INDEX(配置数据库!$G153:$AG153,1,MATCH($B$3,配置数据库!$G$8:$AG$8,0))&lt;&gt;""),SUMPRODUCT((配置数据库!$C$10:$C153="售前填写")*(INDEX(配置数据库!$G$10:$AG153,0,MATCH($B$3,配置数据库!$G$8:$AG$8,0))&lt;&gt;"")),"")</f>
        <v/>
      </c>
      <c r="Q133" t="str">
        <f>IF(AND(配置数据库!$C153="默认配置",INDEX(配置数据库!$G153:$AG153,1,MATCH($B$3,配置数据库!$G$8:$AG$8,0))&lt;&gt;""),SUMPRODUCT((配置数据库!$C$10:$C153="默认配置")*(INDEX(配置数据库!$G$10:$AG153,0,MATCH($B$3,配置数据库!$G$8:$AG$8,0))&lt;&gt;"")),"")</f>
        <v/>
      </c>
    </row>
    <row r="134" spans="16:17">
      <c r="P134" t="str">
        <f>IF(AND(配置数据库!$C154="售前填写",INDEX(配置数据库!$G154:$AG154,1,MATCH($B$3,配置数据库!$G$8:$AG$8,0))&lt;&gt;""),SUMPRODUCT((配置数据库!$C$10:$C154="售前填写")*(INDEX(配置数据库!$G$10:$AG154,0,MATCH($B$3,配置数据库!$G$8:$AG$8,0))&lt;&gt;"")),"")</f>
        <v/>
      </c>
      <c r="Q134" t="str">
        <f>IF(AND(配置数据库!$C154="默认配置",INDEX(配置数据库!$G154:$AG154,1,MATCH($B$3,配置数据库!$G$8:$AG$8,0))&lt;&gt;""),SUMPRODUCT((配置数据库!$C$10:$C154="默认配置")*(INDEX(配置数据库!$G$10:$AG154,0,MATCH($B$3,配置数据库!$G$8:$AG$8,0))&lt;&gt;"")),"")</f>
        <v/>
      </c>
    </row>
    <row r="135" spans="16:17">
      <c r="P135" t="str">
        <f>IF(AND(配置数据库!$C155="售前填写",INDEX(配置数据库!$G155:$AG155,1,MATCH($B$3,配置数据库!$G$8:$AG$8,0))&lt;&gt;""),SUMPRODUCT((配置数据库!$C$10:$C155="售前填写")*(INDEX(配置数据库!$G$10:$AG155,0,MATCH($B$3,配置数据库!$G$8:$AG$8,0))&lt;&gt;"")),"")</f>
        <v/>
      </c>
      <c r="Q135" t="str">
        <f>IF(AND(配置数据库!$C155="默认配置",INDEX(配置数据库!$G155:$AG155,1,MATCH($B$3,配置数据库!$G$8:$AG$8,0))&lt;&gt;""),SUMPRODUCT((配置数据库!$C$10:$C155="默认配置")*(INDEX(配置数据库!$G$10:$AG155,0,MATCH($B$3,配置数据库!$G$8:$AG$8,0))&lt;&gt;"")),"")</f>
        <v/>
      </c>
    </row>
    <row r="136" spans="16:17">
      <c r="P136" t="str">
        <f>IF(AND(配置数据库!$C156="售前填写",INDEX(配置数据库!$G156:$AG156,1,MATCH($B$3,配置数据库!$G$8:$AG$8,0))&lt;&gt;""),SUMPRODUCT((配置数据库!$C$10:$C156="售前填写")*(INDEX(配置数据库!$G$10:$AG156,0,MATCH($B$3,配置数据库!$G$8:$AG$8,0))&lt;&gt;"")),"")</f>
        <v/>
      </c>
      <c r="Q136" t="str">
        <f>IF(AND(配置数据库!$C156="默认配置",INDEX(配置数据库!$G156:$AG156,1,MATCH($B$3,配置数据库!$G$8:$AG$8,0))&lt;&gt;""),SUMPRODUCT((配置数据库!$C$10:$C156="默认配置")*(INDEX(配置数据库!$G$10:$AG156,0,MATCH($B$3,配置数据库!$G$8:$AG$8,0))&lt;&gt;"")),"")</f>
        <v/>
      </c>
    </row>
    <row r="137" spans="16:17">
      <c r="P137" t="str">
        <f>IF(AND(配置数据库!$C157="售前填写",INDEX(配置数据库!$G157:$AG157,1,MATCH($B$3,配置数据库!$G$8:$AG$8,0))&lt;&gt;""),SUMPRODUCT((配置数据库!$C$10:$C157="售前填写")*(INDEX(配置数据库!$G$10:$AG157,0,MATCH($B$3,配置数据库!$G$8:$AG$8,0))&lt;&gt;"")),"")</f>
        <v/>
      </c>
      <c r="Q137" t="str">
        <f>IF(AND(配置数据库!$C157="默认配置",INDEX(配置数据库!$G157:$AG157,1,MATCH($B$3,配置数据库!$G$8:$AG$8,0))&lt;&gt;""),SUMPRODUCT((配置数据库!$C$10:$C157="默认配置")*(INDEX(配置数据库!$G$10:$AG157,0,MATCH($B$3,配置数据库!$G$8:$AG$8,0))&lt;&gt;"")),"")</f>
        <v/>
      </c>
    </row>
    <row r="138" spans="16:17">
      <c r="P138" t="str">
        <f>IF(AND(配置数据库!$C158="售前填写",INDEX(配置数据库!$G158:$AG158,1,MATCH($B$3,配置数据库!$G$8:$AG$8,0))&lt;&gt;""),SUMPRODUCT((配置数据库!$C$10:$C158="售前填写")*(INDEX(配置数据库!$G$10:$AG158,0,MATCH($B$3,配置数据库!$G$8:$AG$8,0))&lt;&gt;"")),"")</f>
        <v/>
      </c>
      <c r="Q138" t="str">
        <f>IF(AND(配置数据库!$C158="默认配置",INDEX(配置数据库!$G158:$AG158,1,MATCH($B$3,配置数据库!$G$8:$AG$8,0))&lt;&gt;""),SUMPRODUCT((配置数据库!$C$10:$C158="默认配置")*(INDEX(配置数据库!$G$10:$AG158,0,MATCH($B$3,配置数据库!$G$8:$AG$8,0))&lt;&gt;"")),"")</f>
        <v/>
      </c>
    </row>
    <row r="139" spans="16:17">
      <c r="P139" t="str">
        <f>IF(AND(配置数据库!$C159="售前填写",INDEX(配置数据库!$G159:$AG159,1,MATCH($B$3,配置数据库!$G$8:$AG$8,0))&lt;&gt;""),SUMPRODUCT((配置数据库!$C$10:$C159="售前填写")*(INDEX(配置数据库!$G$10:$AG159,0,MATCH($B$3,配置数据库!$G$8:$AG$8,0))&lt;&gt;"")),"")</f>
        <v/>
      </c>
      <c r="Q139" t="str">
        <f>IF(AND(配置数据库!$C159="默认配置",INDEX(配置数据库!$G159:$AG159,1,MATCH($B$3,配置数据库!$G$8:$AG$8,0))&lt;&gt;""),SUMPRODUCT((配置数据库!$C$10:$C159="默认配置")*(INDEX(配置数据库!$G$10:$AG159,0,MATCH($B$3,配置数据库!$G$8:$AG$8,0))&lt;&gt;"")),"")</f>
        <v/>
      </c>
    </row>
    <row r="140" spans="16:17">
      <c r="P140" t="str">
        <f>IF(AND(配置数据库!$C160="售前填写",INDEX(配置数据库!$G160:$AG160,1,MATCH($B$3,配置数据库!$G$8:$AG$8,0))&lt;&gt;""),SUMPRODUCT((配置数据库!$C$10:$C160="售前填写")*(INDEX(配置数据库!$G$10:$AG160,0,MATCH($B$3,配置数据库!$G$8:$AG$8,0))&lt;&gt;"")),"")</f>
        <v/>
      </c>
      <c r="Q140" t="str">
        <f>IF(AND(配置数据库!$C160="默认配置",INDEX(配置数据库!$G160:$AG160,1,MATCH($B$3,配置数据库!$G$8:$AG$8,0))&lt;&gt;""),SUMPRODUCT((配置数据库!$C$10:$C160="默认配置")*(INDEX(配置数据库!$G$10:$AG160,0,MATCH($B$3,配置数据库!$G$8:$AG$8,0))&lt;&gt;"")),"")</f>
        <v/>
      </c>
    </row>
    <row r="141" spans="16:17">
      <c r="P141" t="str">
        <f>IF(AND(配置数据库!$C161="售前填写",INDEX(配置数据库!$G161:$AG161,1,MATCH($B$3,配置数据库!$G$8:$AG$8,0))&lt;&gt;""),SUMPRODUCT((配置数据库!$C$10:$C161="售前填写")*(INDEX(配置数据库!$G$10:$AG161,0,MATCH($B$3,配置数据库!$G$8:$AG$8,0))&lt;&gt;"")),"")</f>
        <v/>
      </c>
      <c r="Q141" t="str">
        <f>IF(AND(配置数据库!$C161="默认配置",INDEX(配置数据库!$G161:$AG161,1,MATCH($B$3,配置数据库!$G$8:$AG$8,0))&lt;&gt;""),SUMPRODUCT((配置数据库!$C$10:$C161="默认配置")*(INDEX(配置数据库!$G$10:$AG161,0,MATCH($B$3,配置数据库!$G$8:$AG$8,0))&lt;&gt;"")),"")</f>
        <v/>
      </c>
    </row>
    <row r="142" spans="16:17">
      <c r="P142" t="str">
        <f>IF(AND(配置数据库!$C162="售前填写",INDEX(配置数据库!$G162:$AG162,1,MATCH($B$3,配置数据库!$G$8:$AG$8,0))&lt;&gt;""),SUMPRODUCT((配置数据库!$C$10:$C162="售前填写")*(INDEX(配置数据库!$G$10:$AG162,0,MATCH($B$3,配置数据库!$G$8:$AG$8,0))&lt;&gt;"")),"")</f>
        <v/>
      </c>
      <c r="Q142" t="str">
        <f>IF(AND(配置数据库!$C162="默认配置",INDEX(配置数据库!$G162:$AG162,1,MATCH($B$3,配置数据库!$G$8:$AG$8,0))&lt;&gt;""),SUMPRODUCT((配置数据库!$C$10:$C162="默认配置")*(INDEX(配置数据库!$G$10:$AG162,0,MATCH($B$3,配置数据库!$G$8:$AG$8,0))&lt;&gt;"")),"")</f>
        <v/>
      </c>
    </row>
    <row r="143" spans="16:17">
      <c r="P143" t="str">
        <f>IF(AND(配置数据库!$C163="售前填写",INDEX(配置数据库!$G163:$AG163,1,MATCH($B$3,配置数据库!$G$8:$AG$8,0))&lt;&gt;""),SUMPRODUCT((配置数据库!$C$10:$C163="售前填写")*(INDEX(配置数据库!$G$10:$AG163,0,MATCH($B$3,配置数据库!$G$8:$AG$8,0))&lt;&gt;"")),"")</f>
        <v/>
      </c>
      <c r="Q143" t="str">
        <f>IF(AND(配置数据库!$C163="默认配置",INDEX(配置数据库!$G163:$AG163,1,MATCH($B$3,配置数据库!$G$8:$AG$8,0))&lt;&gt;""),SUMPRODUCT((配置数据库!$C$10:$C163="默认配置")*(INDEX(配置数据库!$G$10:$AG163,0,MATCH($B$3,配置数据库!$G$8:$AG$8,0))&lt;&gt;"")),"")</f>
        <v/>
      </c>
    </row>
    <row r="144" spans="16:17">
      <c r="P144" t="str">
        <f>IF(AND(配置数据库!$C164="售前填写",INDEX(配置数据库!$G164:$AG164,1,MATCH($B$3,配置数据库!$G$8:$AG$8,0))&lt;&gt;""),SUMPRODUCT((配置数据库!$C$10:$C164="售前填写")*(INDEX(配置数据库!$G$10:$AG164,0,MATCH($B$3,配置数据库!$G$8:$AG$8,0))&lt;&gt;"")),"")</f>
        <v/>
      </c>
      <c r="Q144" t="str">
        <f>IF(AND(配置数据库!$C164="默认配置",INDEX(配置数据库!$G164:$AG164,1,MATCH($B$3,配置数据库!$G$8:$AG$8,0))&lt;&gt;""),SUMPRODUCT((配置数据库!$C$10:$C164="默认配置")*(INDEX(配置数据库!$G$10:$AG164,0,MATCH($B$3,配置数据库!$G$8:$AG$8,0))&lt;&gt;"")),"")</f>
        <v/>
      </c>
    </row>
    <row r="145" spans="16:17">
      <c r="P145" t="str">
        <f>IF(AND(配置数据库!$C165="售前填写",INDEX(配置数据库!$G165:$AG165,1,MATCH($B$3,配置数据库!$G$8:$AG$8,0))&lt;&gt;""),SUMPRODUCT((配置数据库!$C$10:$C165="售前填写")*(INDEX(配置数据库!$G$10:$AG165,0,MATCH($B$3,配置数据库!$G$8:$AG$8,0))&lt;&gt;"")),"")</f>
        <v/>
      </c>
      <c r="Q145" t="str">
        <f>IF(AND(配置数据库!$C165="默认配置",INDEX(配置数据库!$G165:$AG165,1,MATCH($B$3,配置数据库!$G$8:$AG$8,0))&lt;&gt;""),SUMPRODUCT((配置数据库!$C$10:$C165="默认配置")*(INDEX(配置数据库!$G$10:$AG165,0,MATCH($B$3,配置数据库!$G$8:$AG$8,0))&lt;&gt;"")),"")</f>
        <v/>
      </c>
    </row>
    <row r="146" spans="16:17">
      <c r="P146" t="str">
        <f>IF(AND(配置数据库!$C166="售前填写",INDEX(配置数据库!$G166:$AG166,1,MATCH($B$3,配置数据库!$G$8:$AG$8,0))&lt;&gt;""),SUMPRODUCT((配置数据库!$C$10:$C166="售前填写")*(INDEX(配置数据库!$G$10:$AG166,0,MATCH($B$3,配置数据库!$G$8:$AG$8,0))&lt;&gt;"")),"")</f>
        <v/>
      </c>
      <c r="Q146" t="str">
        <f>IF(AND(配置数据库!$C166="默认配置",INDEX(配置数据库!$G166:$AG166,1,MATCH($B$3,配置数据库!$G$8:$AG$8,0))&lt;&gt;""),SUMPRODUCT((配置数据库!$C$10:$C166="默认配置")*(INDEX(配置数据库!$G$10:$AG166,0,MATCH($B$3,配置数据库!$G$8:$AG$8,0))&lt;&gt;"")),"")</f>
        <v/>
      </c>
    </row>
    <row r="147" spans="16:17">
      <c r="P147" t="str">
        <f>IF(AND(配置数据库!$C167="售前填写",INDEX(配置数据库!$G167:$AG167,1,MATCH($B$3,配置数据库!$G$8:$AG$8,0))&lt;&gt;""),SUMPRODUCT((配置数据库!$C$10:$C167="售前填写")*(INDEX(配置数据库!$G$10:$AG167,0,MATCH($B$3,配置数据库!$G$8:$AG$8,0))&lt;&gt;"")),"")</f>
        <v/>
      </c>
      <c r="Q147" t="str">
        <f>IF(AND(配置数据库!$C167="默认配置",INDEX(配置数据库!$G167:$AG167,1,MATCH($B$3,配置数据库!$G$8:$AG$8,0))&lt;&gt;""),SUMPRODUCT((配置数据库!$C$10:$C167="默认配置")*(INDEX(配置数据库!$G$10:$AG167,0,MATCH($B$3,配置数据库!$G$8:$AG$8,0))&lt;&gt;"")),"")</f>
        <v/>
      </c>
    </row>
    <row r="148" spans="16:17">
      <c r="P148" t="str">
        <f>IF(AND(配置数据库!$C168="售前填写",INDEX(配置数据库!$G168:$AG168,1,MATCH($B$3,配置数据库!$G$8:$AG$8,0))&lt;&gt;""),SUMPRODUCT((配置数据库!$C$10:$C168="售前填写")*(INDEX(配置数据库!$G$10:$AG168,0,MATCH($B$3,配置数据库!$G$8:$AG$8,0))&lt;&gt;"")),"")</f>
        <v/>
      </c>
      <c r="Q148" t="str">
        <f>IF(AND(配置数据库!$C168="默认配置",INDEX(配置数据库!$G168:$AG168,1,MATCH($B$3,配置数据库!$G$8:$AG$8,0))&lt;&gt;""),SUMPRODUCT((配置数据库!$C$10:$C168="默认配置")*(INDEX(配置数据库!$G$10:$AG168,0,MATCH($B$3,配置数据库!$G$8:$AG$8,0))&lt;&gt;"")),"")</f>
        <v/>
      </c>
    </row>
    <row r="149" spans="16:17">
      <c r="P149" t="str">
        <f>IF(AND(配置数据库!$C169="售前填写",INDEX(配置数据库!$G169:$AG169,1,MATCH($B$3,配置数据库!$G$8:$AG$8,0))&lt;&gt;""),SUMPRODUCT((配置数据库!$C$10:$C169="售前填写")*(INDEX(配置数据库!$G$10:$AG169,0,MATCH($B$3,配置数据库!$G$8:$AG$8,0))&lt;&gt;"")),"")</f>
        <v/>
      </c>
      <c r="Q149" t="str">
        <f>IF(AND(配置数据库!$C169="默认配置",INDEX(配置数据库!$G169:$AG169,1,MATCH($B$3,配置数据库!$G$8:$AG$8,0))&lt;&gt;""),SUMPRODUCT((配置数据库!$C$10:$C169="默认配置")*(INDEX(配置数据库!$G$10:$AG169,0,MATCH($B$3,配置数据库!$G$8:$AG$8,0))&lt;&gt;"")),"")</f>
        <v/>
      </c>
    </row>
    <row r="150" spans="16:17">
      <c r="P150" t="str">
        <f>IF(AND(配置数据库!$C170="售前填写",INDEX(配置数据库!$G170:$AG170,1,MATCH($B$3,配置数据库!$G$8:$AG$8,0))&lt;&gt;""),SUMPRODUCT((配置数据库!$C$10:$C170="售前填写")*(INDEX(配置数据库!$G$10:$AG170,0,MATCH($B$3,配置数据库!$G$8:$AG$8,0))&lt;&gt;"")),"")</f>
        <v/>
      </c>
      <c r="Q150" t="str">
        <f>IF(AND(配置数据库!$C170="默认配置",INDEX(配置数据库!$G170:$AG170,1,MATCH($B$3,配置数据库!$G$8:$AG$8,0))&lt;&gt;""),SUMPRODUCT((配置数据库!$C$10:$C170="默认配置")*(INDEX(配置数据库!$G$10:$AG170,0,MATCH($B$3,配置数据库!$G$8:$AG$8,0))&lt;&gt;"")),"")</f>
        <v/>
      </c>
    </row>
    <row r="151" spans="16:17">
      <c r="P151" t="str">
        <f>IF(AND(配置数据库!$C171="售前填写",INDEX(配置数据库!$G171:$AG171,1,MATCH($B$3,配置数据库!$G$8:$AG$8,0))&lt;&gt;""),SUMPRODUCT((配置数据库!$C$10:$C171="售前填写")*(INDEX(配置数据库!$G$10:$AG171,0,MATCH($B$3,配置数据库!$G$8:$AG$8,0))&lt;&gt;"")),"")</f>
        <v/>
      </c>
      <c r="Q151" t="str">
        <f>IF(AND(配置数据库!$C171="默认配置",INDEX(配置数据库!$G171:$AG171,1,MATCH($B$3,配置数据库!$G$8:$AG$8,0))&lt;&gt;""),SUMPRODUCT((配置数据库!$C$10:$C171="默认配置")*(INDEX(配置数据库!$G$10:$AG171,0,MATCH($B$3,配置数据库!$G$8:$AG$8,0))&lt;&gt;"")),"")</f>
        <v/>
      </c>
    </row>
    <row r="152" spans="16:17">
      <c r="P152" t="str">
        <f>IF(AND(配置数据库!$C172="售前填写",INDEX(配置数据库!$G172:$AG172,1,MATCH($B$3,配置数据库!$G$8:$AG$8,0))&lt;&gt;""),SUMPRODUCT((配置数据库!$C$10:$C172="售前填写")*(INDEX(配置数据库!$G$10:$AG172,0,MATCH($B$3,配置数据库!$G$8:$AG$8,0))&lt;&gt;"")),"")</f>
        <v/>
      </c>
      <c r="Q152" t="str">
        <f>IF(AND(配置数据库!$C172="默认配置",INDEX(配置数据库!$G172:$AG172,1,MATCH($B$3,配置数据库!$G$8:$AG$8,0))&lt;&gt;""),SUMPRODUCT((配置数据库!$C$10:$C172="默认配置")*(INDEX(配置数据库!$G$10:$AG172,0,MATCH($B$3,配置数据库!$G$8:$AG$8,0))&lt;&gt;"")),"")</f>
        <v/>
      </c>
    </row>
    <row r="153" spans="16:17">
      <c r="P153" t="str">
        <f>IF(AND(配置数据库!$C173="售前填写",INDEX(配置数据库!$G173:$AG173,1,MATCH($B$3,配置数据库!$G$8:$AG$8,0))&lt;&gt;""),SUMPRODUCT((配置数据库!$C$10:$C173="售前填写")*(INDEX(配置数据库!$G$10:$AG173,0,MATCH($B$3,配置数据库!$G$8:$AG$8,0))&lt;&gt;"")),"")</f>
        <v/>
      </c>
      <c r="Q153" t="str">
        <f>IF(AND(配置数据库!$C173="默认配置",INDEX(配置数据库!$G173:$AG173,1,MATCH($B$3,配置数据库!$G$8:$AG$8,0))&lt;&gt;""),SUMPRODUCT((配置数据库!$C$10:$C173="默认配置")*(INDEX(配置数据库!$G$10:$AG173,0,MATCH($B$3,配置数据库!$G$8:$AG$8,0))&lt;&gt;"")),"")</f>
        <v/>
      </c>
    </row>
    <row r="154" spans="16:17">
      <c r="P154" t="str">
        <f>IF(AND(配置数据库!$C174="售前填写",INDEX(配置数据库!$G174:$AG174,1,MATCH($B$3,配置数据库!$G$8:$AG$8,0))&lt;&gt;""),SUMPRODUCT((配置数据库!$C$10:$C174="售前填写")*(INDEX(配置数据库!$G$10:$AG174,0,MATCH($B$3,配置数据库!$G$8:$AG$8,0))&lt;&gt;"")),"")</f>
        <v/>
      </c>
      <c r="Q154" t="str">
        <f>IF(AND(配置数据库!$C174="默认配置",INDEX(配置数据库!$G174:$AG174,1,MATCH($B$3,配置数据库!$G$8:$AG$8,0))&lt;&gt;""),SUMPRODUCT((配置数据库!$C$10:$C174="默认配置")*(INDEX(配置数据库!$G$10:$AG174,0,MATCH($B$3,配置数据库!$G$8:$AG$8,0))&lt;&gt;"")),"")</f>
        <v/>
      </c>
    </row>
    <row r="155" spans="16:17">
      <c r="P155" t="str">
        <f>IF(AND(配置数据库!$C175="售前填写",INDEX(配置数据库!$G175:$AG175,1,MATCH($B$3,配置数据库!$G$8:$AG$8,0))&lt;&gt;""),SUMPRODUCT((配置数据库!$C$10:$C175="售前填写")*(INDEX(配置数据库!$G$10:$AG175,0,MATCH($B$3,配置数据库!$G$8:$AG$8,0))&lt;&gt;"")),"")</f>
        <v/>
      </c>
      <c r="Q155" t="str">
        <f>IF(AND(配置数据库!$C175="默认配置",INDEX(配置数据库!$G175:$AG175,1,MATCH($B$3,配置数据库!$G$8:$AG$8,0))&lt;&gt;""),SUMPRODUCT((配置数据库!$C$10:$C175="默认配置")*(INDEX(配置数据库!$G$10:$AG175,0,MATCH($B$3,配置数据库!$G$8:$AG$8,0))&lt;&gt;"")),"")</f>
        <v/>
      </c>
    </row>
    <row r="156" spans="16:17">
      <c r="P156" t="str">
        <f>IF(AND(配置数据库!$C176="售前填写",INDEX(配置数据库!$G176:$AG176,1,MATCH($B$3,配置数据库!$G$8:$AG$8,0))&lt;&gt;""),SUMPRODUCT((配置数据库!$C$10:$C176="售前填写")*(INDEX(配置数据库!$G$10:$AG176,0,MATCH($B$3,配置数据库!$G$8:$AG$8,0))&lt;&gt;"")),"")</f>
        <v/>
      </c>
      <c r="Q156" t="str">
        <f>IF(AND(配置数据库!$C176="默认配置",INDEX(配置数据库!$G176:$AG176,1,MATCH($B$3,配置数据库!$G$8:$AG$8,0))&lt;&gt;""),SUMPRODUCT((配置数据库!$C$10:$C176="默认配置")*(INDEX(配置数据库!$G$10:$AG176,0,MATCH($B$3,配置数据库!$G$8:$AG$8,0))&lt;&gt;"")),"")</f>
        <v/>
      </c>
    </row>
    <row r="157" spans="16:17">
      <c r="P157" t="str">
        <f>IF(AND(配置数据库!$C177="售前填写",INDEX(配置数据库!$G177:$AG177,1,MATCH($B$3,配置数据库!$G$8:$AG$8,0))&lt;&gt;""),SUMPRODUCT((配置数据库!$C$10:$C177="售前填写")*(INDEX(配置数据库!$G$10:$AG177,0,MATCH($B$3,配置数据库!$G$8:$AG$8,0))&lt;&gt;"")),"")</f>
        <v/>
      </c>
      <c r="Q157" t="str">
        <f>IF(AND(配置数据库!$C177="默认配置",INDEX(配置数据库!$G177:$AG177,1,MATCH($B$3,配置数据库!$G$8:$AG$8,0))&lt;&gt;""),SUMPRODUCT((配置数据库!$C$10:$C177="默认配置")*(INDEX(配置数据库!$G$10:$AG177,0,MATCH($B$3,配置数据库!$G$8:$AG$8,0))&lt;&gt;"")),"")</f>
        <v/>
      </c>
    </row>
    <row r="158" spans="16:17">
      <c r="P158" t="str">
        <f>IF(AND(配置数据库!$C178="售前填写",INDEX(配置数据库!$G178:$AG178,1,MATCH($B$3,配置数据库!$G$8:$AG$8,0))&lt;&gt;""),SUMPRODUCT((配置数据库!$C$10:$C178="售前填写")*(INDEX(配置数据库!$G$10:$AG178,0,MATCH($B$3,配置数据库!$G$8:$AG$8,0))&lt;&gt;"")),"")</f>
        <v/>
      </c>
      <c r="Q158" t="str">
        <f>IF(AND(配置数据库!$C178="默认配置",INDEX(配置数据库!$G178:$AG178,1,MATCH($B$3,配置数据库!$G$8:$AG$8,0))&lt;&gt;""),SUMPRODUCT((配置数据库!$C$10:$C178="默认配置")*(INDEX(配置数据库!$G$10:$AG178,0,MATCH($B$3,配置数据库!$G$8:$AG$8,0))&lt;&gt;"")),"")</f>
        <v/>
      </c>
    </row>
    <row r="159" spans="16:17">
      <c r="P159" t="str">
        <f>IF(AND(配置数据库!$C179="售前填写",INDEX(配置数据库!$G179:$AG179,1,MATCH($B$3,配置数据库!$G$8:$AG$8,0))&lt;&gt;""),SUMPRODUCT((配置数据库!$C$10:$C179="售前填写")*(INDEX(配置数据库!$G$10:$AG179,0,MATCH($B$3,配置数据库!$G$8:$AG$8,0))&lt;&gt;"")),"")</f>
        <v/>
      </c>
      <c r="Q159" t="str">
        <f>IF(AND(配置数据库!$C179="默认配置",INDEX(配置数据库!$G179:$AG179,1,MATCH($B$3,配置数据库!$G$8:$AG$8,0))&lt;&gt;""),SUMPRODUCT((配置数据库!$C$10:$C179="默认配置")*(INDEX(配置数据库!$G$10:$AG179,0,MATCH($B$3,配置数据库!$G$8:$AG$8,0))&lt;&gt;"")),"")</f>
        <v/>
      </c>
    </row>
    <row r="160" spans="16:17">
      <c r="P160" t="str">
        <f>IF(AND(配置数据库!$C180="售前填写",INDEX(配置数据库!$G180:$AG180,1,MATCH($B$3,配置数据库!$G$8:$AG$8,0))&lt;&gt;""),SUMPRODUCT((配置数据库!$C$10:$C180="售前填写")*(INDEX(配置数据库!$G$10:$AG180,0,MATCH($B$3,配置数据库!$G$8:$AG$8,0))&lt;&gt;"")),"")</f>
        <v/>
      </c>
      <c r="Q160" t="str">
        <f>IF(AND(配置数据库!$C180="默认配置",INDEX(配置数据库!$G180:$AG180,1,MATCH($B$3,配置数据库!$G$8:$AG$8,0))&lt;&gt;""),SUMPRODUCT((配置数据库!$C$10:$C180="默认配置")*(INDEX(配置数据库!$G$10:$AG180,0,MATCH($B$3,配置数据库!$G$8:$AG$8,0))&lt;&gt;"")),"")</f>
        <v/>
      </c>
    </row>
    <row r="161" spans="16:17">
      <c r="P161" t="str">
        <f>IF(AND(配置数据库!$C181="售前填写",INDEX(配置数据库!$G181:$AG181,1,MATCH($B$3,配置数据库!$G$8:$AG$8,0))&lt;&gt;""),SUMPRODUCT((配置数据库!$C$10:$C181="售前填写")*(INDEX(配置数据库!$G$10:$AG181,0,MATCH($B$3,配置数据库!$G$8:$AG$8,0))&lt;&gt;"")),"")</f>
        <v/>
      </c>
      <c r="Q161" t="str">
        <f>IF(AND(配置数据库!$C181="默认配置",INDEX(配置数据库!$G181:$AG181,1,MATCH($B$3,配置数据库!$G$8:$AG$8,0))&lt;&gt;""),SUMPRODUCT((配置数据库!$C$10:$C181="默认配置")*(INDEX(配置数据库!$G$10:$AG181,0,MATCH($B$3,配置数据库!$G$8:$AG$8,0))&lt;&gt;"")),"")</f>
        <v/>
      </c>
    </row>
    <row r="162" spans="16:17">
      <c r="P162" t="str">
        <f>IF(AND(配置数据库!$C182="售前填写",INDEX(配置数据库!$G182:$AG182,1,MATCH($B$3,配置数据库!$G$8:$AG$8,0))&lt;&gt;""),SUMPRODUCT((配置数据库!$C$10:$C182="售前填写")*(INDEX(配置数据库!$G$10:$AG182,0,MATCH($B$3,配置数据库!$G$8:$AG$8,0))&lt;&gt;"")),"")</f>
        <v/>
      </c>
      <c r="Q162" t="str">
        <f>IF(AND(配置数据库!$C182="默认配置",INDEX(配置数据库!$G182:$AG182,1,MATCH($B$3,配置数据库!$G$8:$AG$8,0))&lt;&gt;""),SUMPRODUCT((配置数据库!$C$10:$C182="默认配置")*(INDEX(配置数据库!$G$10:$AG182,0,MATCH($B$3,配置数据库!$G$8:$AG$8,0))&lt;&gt;"")),"")</f>
        <v/>
      </c>
    </row>
    <row r="163" spans="16:17">
      <c r="P163" t="str">
        <f>IF(AND(配置数据库!$C183="售前填写",INDEX(配置数据库!$G183:$AG183,1,MATCH($B$3,配置数据库!$G$8:$AG$8,0))&lt;&gt;""),SUMPRODUCT((配置数据库!$C$10:$C183="售前填写")*(INDEX(配置数据库!$G$10:$AG183,0,MATCH($B$3,配置数据库!$G$8:$AG$8,0))&lt;&gt;"")),"")</f>
        <v/>
      </c>
      <c r="Q163" t="str">
        <f>IF(AND(配置数据库!$C183="默认配置",INDEX(配置数据库!$G183:$AG183,1,MATCH($B$3,配置数据库!$G$8:$AG$8,0))&lt;&gt;""),SUMPRODUCT((配置数据库!$C$10:$C183="默认配置")*(INDEX(配置数据库!$G$10:$AG183,0,MATCH($B$3,配置数据库!$G$8:$AG$8,0))&lt;&gt;"")),"")</f>
        <v/>
      </c>
    </row>
    <row r="164" spans="16:17">
      <c r="P164" t="str">
        <f>IF(AND(配置数据库!$C184="售前填写",INDEX(配置数据库!$G184:$AG184,1,MATCH($B$3,配置数据库!$G$8:$AG$8,0))&lt;&gt;""),SUMPRODUCT((配置数据库!$C$10:$C184="售前填写")*(INDEX(配置数据库!$G$10:$AG184,0,MATCH($B$3,配置数据库!$G$8:$AG$8,0))&lt;&gt;"")),"")</f>
        <v/>
      </c>
      <c r="Q164" t="str">
        <f>IF(AND(配置数据库!$C184="默认配置",INDEX(配置数据库!$G184:$AG184,1,MATCH($B$3,配置数据库!$G$8:$AG$8,0))&lt;&gt;""),SUMPRODUCT((配置数据库!$C$10:$C184="默认配置")*(INDEX(配置数据库!$G$10:$AG184,0,MATCH($B$3,配置数据库!$G$8:$AG$8,0))&lt;&gt;"")),"")</f>
        <v/>
      </c>
    </row>
    <row r="165" spans="16:17">
      <c r="P165" t="str">
        <f>IF(AND(配置数据库!$C185="售前填写",INDEX(配置数据库!$G185:$AG185,1,MATCH($B$3,配置数据库!$G$8:$AG$8,0))&lt;&gt;""),SUMPRODUCT((配置数据库!$C$10:$C185="售前填写")*(INDEX(配置数据库!$G$10:$AG185,0,MATCH($B$3,配置数据库!$G$8:$AG$8,0))&lt;&gt;"")),"")</f>
        <v/>
      </c>
      <c r="Q165" t="str">
        <f>IF(AND(配置数据库!$C185="默认配置",INDEX(配置数据库!$G185:$AG185,1,MATCH($B$3,配置数据库!$G$8:$AG$8,0))&lt;&gt;""),SUMPRODUCT((配置数据库!$C$10:$C185="默认配置")*(INDEX(配置数据库!$G$10:$AG185,0,MATCH($B$3,配置数据库!$G$8:$AG$8,0))&lt;&gt;"")),"")</f>
        <v/>
      </c>
    </row>
    <row r="166" spans="16:17">
      <c r="P166" t="str">
        <f>IF(AND(配置数据库!$C186="售前填写",INDEX(配置数据库!$G186:$AG186,1,MATCH($B$3,配置数据库!$G$8:$AG$8,0))&lt;&gt;""),SUMPRODUCT((配置数据库!$C$10:$C186="售前填写")*(INDEX(配置数据库!$G$10:$AG186,0,MATCH($B$3,配置数据库!$G$8:$AG$8,0))&lt;&gt;"")),"")</f>
        <v/>
      </c>
      <c r="Q166" t="str">
        <f>IF(AND(配置数据库!$C186="默认配置",INDEX(配置数据库!$G186:$AG186,1,MATCH($B$3,配置数据库!$G$8:$AG$8,0))&lt;&gt;""),SUMPRODUCT((配置数据库!$C$10:$C186="默认配置")*(INDEX(配置数据库!$G$10:$AG186,0,MATCH($B$3,配置数据库!$G$8:$AG$8,0))&lt;&gt;"")),"")</f>
        <v/>
      </c>
    </row>
    <row r="167" spans="16:17">
      <c r="P167" t="str">
        <f>IF(AND(配置数据库!$C187="售前填写",INDEX(配置数据库!$G187:$AG187,1,MATCH($B$3,配置数据库!$G$8:$AG$8,0))&lt;&gt;""),SUMPRODUCT((配置数据库!$C$10:$C187="售前填写")*(INDEX(配置数据库!$G$10:$AG187,0,MATCH($B$3,配置数据库!$G$8:$AG$8,0))&lt;&gt;"")),"")</f>
        <v/>
      </c>
      <c r="Q167" t="str">
        <f>IF(AND(配置数据库!$C187="默认配置",INDEX(配置数据库!$G187:$AG187,1,MATCH($B$3,配置数据库!$G$8:$AG$8,0))&lt;&gt;""),SUMPRODUCT((配置数据库!$C$10:$C187="默认配置")*(INDEX(配置数据库!$G$10:$AG187,0,MATCH($B$3,配置数据库!$G$8:$AG$8,0))&lt;&gt;"")),"")</f>
        <v/>
      </c>
    </row>
    <row r="168" spans="16:17">
      <c r="P168" t="str">
        <f>IF(AND(配置数据库!$C188="售前填写",INDEX(配置数据库!$G188:$AG188,1,MATCH($B$3,配置数据库!$G$8:$AG$8,0))&lt;&gt;""),SUMPRODUCT((配置数据库!$C$10:$C188="售前填写")*(INDEX(配置数据库!$G$10:$AG188,0,MATCH($B$3,配置数据库!$G$8:$AG$8,0))&lt;&gt;"")),"")</f>
        <v/>
      </c>
      <c r="Q168" t="str">
        <f>IF(AND(配置数据库!$C188="默认配置",INDEX(配置数据库!$G188:$AG188,1,MATCH($B$3,配置数据库!$G$8:$AG$8,0))&lt;&gt;""),SUMPRODUCT((配置数据库!$C$10:$C188="默认配置")*(INDEX(配置数据库!$G$10:$AG188,0,MATCH($B$3,配置数据库!$G$8:$AG$8,0))&lt;&gt;"")),"")</f>
        <v/>
      </c>
    </row>
    <row r="169" spans="16:17">
      <c r="P169" t="str">
        <f>IF(AND(配置数据库!$C189="售前填写",INDEX(配置数据库!$G189:$AG189,1,MATCH($B$3,配置数据库!$G$8:$AG$8,0))&lt;&gt;""),SUMPRODUCT((配置数据库!$C$10:$C189="售前填写")*(INDEX(配置数据库!$G$10:$AG189,0,MATCH($B$3,配置数据库!$G$8:$AG$8,0))&lt;&gt;"")),"")</f>
        <v/>
      </c>
      <c r="Q169" t="str">
        <f>IF(AND(配置数据库!$C189="默认配置",INDEX(配置数据库!$G189:$AG189,1,MATCH($B$3,配置数据库!$G$8:$AG$8,0))&lt;&gt;""),SUMPRODUCT((配置数据库!$C$10:$C189="默认配置")*(INDEX(配置数据库!$G$10:$AG189,0,MATCH($B$3,配置数据库!$G$8:$AG$8,0))&lt;&gt;"")),"")</f>
        <v/>
      </c>
    </row>
    <row r="170" spans="16:17">
      <c r="P170" t="str">
        <f>IF(AND(配置数据库!$C190="售前填写",INDEX(配置数据库!$G190:$AG190,1,MATCH($B$3,配置数据库!$G$8:$AG$8,0))&lt;&gt;""),SUMPRODUCT((配置数据库!$C$10:$C190="售前填写")*(INDEX(配置数据库!$G$10:$AG190,0,MATCH($B$3,配置数据库!$G$8:$AG$8,0))&lt;&gt;"")),"")</f>
        <v/>
      </c>
      <c r="Q170" t="str">
        <f>IF(AND(配置数据库!$C190="默认配置",INDEX(配置数据库!$G190:$AG190,1,MATCH($B$3,配置数据库!$G$8:$AG$8,0))&lt;&gt;""),SUMPRODUCT((配置数据库!$C$10:$C190="默认配置")*(INDEX(配置数据库!$G$10:$AG190,0,MATCH($B$3,配置数据库!$G$8:$AG$8,0))&lt;&gt;"")),"")</f>
        <v/>
      </c>
    </row>
    <row r="171" spans="16:17">
      <c r="P171" t="str">
        <f>IF(AND(配置数据库!$C191="售前填写",INDEX(配置数据库!$G191:$AG191,1,MATCH($B$3,配置数据库!$G$8:$AG$8,0))&lt;&gt;""),SUMPRODUCT((配置数据库!$C$10:$C191="售前填写")*(INDEX(配置数据库!$G$10:$AG191,0,MATCH($B$3,配置数据库!$G$8:$AG$8,0))&lt;&gt;"")),"")</f>
        <v/>
      </c>
      <c r="Q171" t="str">
        <f>IF(AND(配置数据库!$C191="默认配置",INDEX(配置数据库!$G191:$AG191,1,MATCH($B$3,配置数据库!$G$8:$AG$8,0))&lt;&gt;""),SUMPRODUCT((配置数据库!$C$10:$C191="默认配置")*(INDEX(配置数据库!$G$10:$AG191,0,MATCH($B$3,配置数据库!$G$8:$AG$8,0))&lt;&gt;"")),"")</f>
        <v/>
      </c>
    </row>
    <row r="172" spans="16:17">
      <c r="P172" t="str">
        <f>IF(AND(配置数据库!$C192="售前填写",INDEX(配置数据库!$G192:$AG192,1,MATCH($B$3,配置数据库!$G$8:$AG$8,0))&lt;&gt;""),SUMPRODUCT((配置数据库!$C$10:$C192="售前填写")*(INDEX(配置数据库!$G$10:$AG192,0,MATCH($B$3,配置数据库!$G$8:$AG$8,0))&lt;&gt;"")),"")</f>
        <v/>
      </c>
      <c r="Q172" t="str">
        <f>IF(AND(配置数据库!$C192="默认配置",INDEX(配置数据库!$G192:$AG192,1,MATCH($B$3,配置数据库!$G$8:$AG$8,0))&lt;&gt;""),SUMPRODUCT((配置数据库!$C$10:$C192="默认配置")*(INDEX(配置数据库!$G$10:$AG192,0,MATCH($B$3,配置数据库!$G$8:$AG$8,0))&lt;&gt;"")),"")</f>
        <v/>
      </c>
    </row>
    <row r="173" spans="16:17">
      <c r="P173" t="str">
        <f>IF(AND(配置数据库!$C193="售前填写",INDEX(配置数据库!$G193:$AG193,1,MATCH($B$3,配置数据库!$G$8:$AG$8,0))&lt;&gt;""),SUMPRODUCT((配置数据库!$C$10:$C193="售前填写")*(INDEX(配置数据库!$G$10:$AG193,0,MATCH($B$3,配置数据库!$G$8:$AG$8,0))&lt;&gt;"")),"")</f>
        <v/>
      </c>
      <c r="Q173" t="str">
        <f>IF(AND(配置数据库!$C193="默认配置",INDEX(配置数据库!$G193:$AG193,1,MATCH($B$3,配置数据库!$G$8:$AG$8,0))&lt;&gt;""),SUMPRODUCT((配置数据库!$C$10:$C193="默认配置")*(INDEX(配置数据库!$G$10:$AG193,0,MATCH($B$3,配置数据库!$G$8:$AG$8,0))&lt;&gt;"")),"")</f>
        <v/>
      </c>
    </row>
    <row r="174" spans="16:17">
      <c r="P174" t="str">
        <f>IF(AND(配置数据库!$C194="售前填写",INDEX(配置数据库!$G194:$AG194,1,MATCH($B$3,配置数据库!$G$8:$AG$8,0))&lt;&gt;""),SUMPRODUCT((配置数据库!$C$10:$C194="售前填写")*(INDEX(配置数据库!$G$10:$AG194,0,MATCH($B$3,配置数据库!$G$8:$AG$8,0))&lt;&gt;"")),"")</f>
        <v/>
      </c>
      <c r="Q174" t="str">
        <f>IF(AND(配置数据库!$C194="默认配置",INDEX(配置数据库!$G194:$AG194,1,MATCH($B$3,配置数据库!$G$8:$AG$8,0))&lt;&gt;""),SUMPRODUCT((配置数据库!$C$10:$C194="默认配置")*(INDEX(配置数据库!$G$10:$AG194,0,MATCH($B$3,配置数据库!$G$8:$AG$8,0))&lt;&gt;"")),"")</f>
        <v/>
      </c>
    </row>
    <row r="175" spans="16:17">
      <c r="P175" t="str">
        <f>IF(AND(配置数据库!$C195="售前填写",INDEX(配置数据库!$G195:$AG195,1,MATCH($B$3,配置数据库!$G$8:$AG$8,0))&lt;&gt;""),SUMPRODUCT((配置数据库!$C$10:$C195="售前填写")*(INDEX(配置数据库!$G$10:$AG195,0,MATCH($B$3,配置数据库!$G$8:$AG$8,0))&lt;&gt;"")),"")</f>
        <v/>
      </c>
      <c r="Q175" t="str">
        <f>IF(AND(配置数据库!$C195="默认配置",INDEX(配置数据库!$G195:$AG195,1,MATCH($B$3,配置数据库!$G$8:$AG$8,0))&lt;&gt;""),SUMPRODUCT((配置数据库!$C$10:$C195="默认配置")*(INDEX(配置数据库!$G$10:$AG195,0,MATCH($B$3,配置数据库!$G$8:$AG$8,0))&lt;&gt;"")),"")</f>
        <v/>
      </c>
    </row>
    <row r="176" spans="16:17">
      <c r="P176" t="str">
        <f>IF(AND(配置数据库!$C196="售前填写",INDEX(配置数据库!$G196:$AG196,1,MATCH($B$3,配置数据库!$G$8:$AG$8,0))&lt;&gt;""),SUMPRODUCT((配置数据库!$C$10:$C196="售前填写")*(INDEX(配置数据库!$G$10:$AG196,0,MATCH($B$3,配置数据库!$G$8:$AG$8,0))&lt;&gt;"")),"")</f>
        <v/>
      </c>
      <c r="Q176" t="str">
        <f>IF(AND(配置数据库!$C196="默认配置",INDEX(配置数据库!$G196:$AG196,1,MATCH($B$3,配置数据库!$G$8:$AG$8,0))&lt;&gt;""),SUMPRODUCT((配置数据库!$C$10:$C196="默认配置")*(INDEX(配置数据库!$G$10:$AG196,0,MATCH($B$3,配置数据库!$G$8:$AG$8,0))&lt;&gt;"")),"")</f>
        <v/>
      </c>
    </row>
    <row r="177" spans="16:17">
      <c r="P177" t="str">
        <f>IF(AND(配置数据库!$C197="售前填写",INDEX(配置数据库!$G197:$AG197,1,MATCH($B$3,配置数据库!$G$8:$AG$8,0))&lt;&gt;""),SUMPRODUCT((配置数据库!$C$10:$C197="售前填写")*(INDEX(配置数据库!$G$10:$AG197,0,MATCH($B$3,配置数据库!$G$8:$AG$8,0))&lt;&gt;"")),"")</f>
        <v/>
      </c>
      <c r="Q177" t="str">
        <f>IF(AND(配置数据库!$C197="默认配置",INDEX(配置数据库!$G197:$AG197,1,MATCH($B$3,配置数据库!$G$8:$AG$8,0))&lt;&gt;""),SUMPRODUCT((配置数据库!$C$10:$C197="默认配置")*(INDEX(配置数据库!$G$10:$AG197,0,MATCH($B$3,配置数据库!$G$8:$AG$8,0))&lt;&gt;"")),"")</f>
        <v/>
      </c>
    </row>
    <row r="178" spans="16:17">
      <c r="P178" t="str">
        <f>IF(AND(配置数据库!$C198="售前填写",INDEX(配置数据库!$G198:$AG198,1,MATCH($B$3,配置数据库!$G$8:$AG$8,0))&lt;&gt;""),SUMPRODUCT((配置数据库!$C$10:$C198="售前填写")*(INDEX(配置数据库!$G$10:$AG198,0,MATCH($B$3,配置数据库!$G$8:$AG$8,0))&lt;&gt;"")),"")</f>
        <v/>
      </c>
      <c r="Q178" t="str">
        <f>IF(AND(配置数据库!$C198="默认配置",INDEX(配置数据库!$G198:$AG198,1,MATCH($B$3,配置数据库!$G$8:$AG$8,0))&lt;&gt;""),SUMPRODUCT((配置数据库!$C$10:$C198="默认配置")*(INDEX(配置数据库!$G$10:$AG198,0,MATCH($B$3,配置数据库!$G$8:$AG$8,0))&lt;&gt;"")),"")</f>
        <v/>
      </c>
    </row>
    <row r="179" spans="16:17">
      <c r="P179" t="str">
        <f>IF(AND(配置数据库!$C199="售前填写",INDEX(配置数据库!$G199:$AG199,1,MATCH($B$3,配置数据库!$G$8:$AG$8,0))&lt;&gt;""),SUMPRODUCT((配置数据库!$C$10:$C199="售前填写")*(INDEX(配置数据库!$G$10:$AG199,0,MATCH($B$3,配置数据库!$G$8:$AG$8,0))&lt;&gt;"")),"")</f>
        <v/>
      </c>
      <c r="Q179" t="str">
        <f>IF(AND(配置数据库!$C199="默认配置",INDEX(配置数据库!$G199:$AG199,1,MATCH($B$3,配置数据库!$G$8:$AG$8,0))&lt;&gt;""),SUMPRODUCT((配置数据库!$C$10:$C199="默认配置")*(INDEX(配置数据库!$G$10:$AG199,0,MATCH($B$3,配置数据库!$G$8:$AG$8,0))&lt;&gt;"")),"")</f>
        <v/>
      </c>
    </row>
    <row r="180" spans="16:17">
      <c r="P180" t="str">
        <f>IF(AND(配置数据库!$C200="售前填写",INDEX(配置数据库!$G200:$AG200,1,MATCH($B$3,配置数据库!$G$8:$AG$8,0))&lt;&gt;""),SUMPRODUCT((配置数据库!$C$10:$C200="售前填写")*(INDEX(配置数据库!$G$10:$AG200,0,MATCH($B$3,配置数据库!$G$8:$AG$8,0))&lt;&gt;"")),"")</f>
        <v/>
      </c>
      <c r="Q180" t="str">
        <f>IF(AND(配置数据库!$C200="默认配置",INDEX(配置数据库!$G200:$AG200,1,MATCH($B$3,配置数据库!$G$8:$AG$8,0))&lt;&gt;""),SUMPRODUCT((配置数据库!$C$10:$C200="默认配置")*(INDEX(配置数据库!$G$10:$AG200,0,MATCH($B$3,配置数据库!$G$8:$AG$8,0))&lt;&gt;"")),"")</f>
        <v/>
      </c>
    </row>
    <row r="181" spans="16:17">
      <c r="P181" t="str">
        <f>IF(AND(配置数据库!$C201="售前填写",INDEX(配置数据库!$G201:$AG201,1,MATCH($B$3,配置数据库!$G$8:$AG$8,0))&lt;&gt;""),SUMPRODUCT((配置数据库!$C$10:$C201="售前填写")*(INDEX(配置数据库!$G$10:$AG201,0,MATCH($B$3,配置数据库!$G$8:$AG$8,0))&lt;&gt;"")),"")</f>
        <v/>
      </c>
      <c r="Q181" t="str">
        <f>IF(AND(配置数据库!$C201="默认配置",INDEX(配置数据库!$G201:$AG201,1,MATCH($B$3,配置数据库!$G$8:$AG$8,0))&lt;&gt;""),SUMPRODUCT((配置数据库!$C$10:$C201="默认配置")*(INDEX(配置数据库!$G$10:$AG201,0,MATCH($B$3,配置数据库!$G$8:$AG$8,0))&lt;&gt;"")),"")</f>
        <v/>
      </c>
    </row>
    <row r="182" spans="16:17">
      <c r="P182" t="str">
        <f>IF(AND(配置数据库!$C202="售前填写",INDEX(配置数据库!$G202:$AG202,1,MATCH($B$3,配置数据库!$G$8:$AG$8,0))&lt;&gt;""),SUMPRODUCT((配置数据库!$C$10:$C202="售前填写")*(INDEX(配置数据库!$G$10:$AG202,0,MATCH($B$3,配置数据库!$G$8:$AG$8,0))&lt;&gt;"")),"")</f>
        <v/>
      </c>
      <c r="Q182" t="str">
        <f>IF(AND(配置数据库!$C202="默认配置",INDEX(配置数据库!$G202:$AG202,1,MATCH($B$3,配置数据库!$G$8:$AG$8,0))&lt;&gt;""),SUMPRODUCT((配置数据库!$C$10:$C202="默认配置")*(INDEX(配置数据库!$G$10:$AG202,0,MATCH($B$3,配置数据库!$G$8:$AG$8,0))&lt;&gt;"")),"")</f>
        <v/>
      </c>
    </row>
    <row r="183" spans="16:17">
      <c r="P183" t="str">
        <f>IF(AND(配置数据库!$C203="售前填写",INDEX(配置数据库!$G203:$AG203,1,MATCH($B$3,配置数据库!$G$8:$AG$8,0))&lt;&gt;""),SUMPRODUCT((配置数据库!$C$10:$C203="售前填写")*(INDEX(配置数据库!$G$10:$AG203,0,MATCH($B$3,配置数据库!$G$8:$AG$8,0))&lt;&gt;"")),"")</f>
        <v/>
      </c>
      <c r="Q183" t="str">
        <f>IF(AND(配置数据库!$C203="默认配置",INDEX(配置数据库!$G203:$AG203,1,MATCH($B$3,配置数据库!$G$8:$AG$8,0))&lt;&gt;""),SUMPRODUCT((配置数据库!$C$10:$C203="默认配置")*(INDEX(配置数据库!$G$10:$AG203,0,MATCH($B$3,配置数据库!$G$8:$AG$8,0))&lt;&gt;"")),"")</f>
        <v/>
      </c>
    </row>
    <row r="184" spans="16:17">
      <c r="P184" t="str">
        <f>IF(AND(配置数据库!$C204="售前填写",INDEX(配置数据库!$G204:$AG204,1,MATCH($B$3,配置数据库!$G$8:$AG$8,0))&lt;&gt;""),SUMPRODUCT((配置数据库!$C$10:$C204="售前填写")*(INDEX(配置数据库!$G$10:$AG204,0,MATCH($B$3,配置数据库!$G$8:$AG$8,0))&lt;&gt;"")),"")</f>
        <v/>
      </c>
      <c r="Q184" t="str">
        <f>IF(AND(配置数据库!$C204="默认配置",INDEX(配置数据库!$G204:$AG204,1,MATCH($B$3,配置数据库!$G$8:$AG$8,0))&lt;&gt;""),SUMPRODUCT((配置数据库!$C$10:$C204="默认配置")*(INDEX(配置数据库!$G$10:$AG204,0,MATCH($B$3,配置数据库!$G$8:$AG$8,0))&lt;&gt;"")),"")</f>
        <v/>
      </c>
    </row>
    <row r="185" spans="16:17">
      <c r="P185" t="str">
        <f>IF(AND(配置数据库!$C205="售前填写",INDEX(配置数据库!$G205:$AG205,1,MATCH($B$3,配置数据库!$G$8:$AG$8,0))&lt;&gt;""),SUMPRODUCT((配置数据库!$C$10:$C205="售前填写")*(INDEX(配置数据库!$G$10:$AG205,0,MATCH($B$3,配置数据库!$G$8:$AG$8,0))&lt;&gt;"")),"")</f>
        <v/>
      </c>
      <c r="Q185" t="str">
        <f>IF(AND(配置数据库!$C205="默认配置",INDEX(配置数据库!$G205:$AG205,1,MATCH($B$3,配置数据库!$G$8:$AG$8,0))&lt;&gt;""),SUMPRODUCT((配置数据库!$C$10:$C205="默认配置")*(INDEX(配置数据库!$G$10:$AG205,0,MATCH($B$3,配置数据库!$G$8:$AG$8,0))&lt;&gt;"")),"")</f>
        <v/>
      </c>
    </row>
    <row r="186" spans="16:17">
      <c r="P186" t="str">
        <f>IF(AND(配置数据库!$C206="售前填写",INDEX(配置数据库!$G206:$AG206,1,MATCH($B$3,配置数据库!$G$8:$AG$8,0))&lt;&gt;""),SUMPRODUCT((配置数据库!$C$10:$C206="售前填写")*(INDEX(配置数据库!$G$10:$AG206,0,MATCH($B$3,配置数据库!$G$8:$AG$8,0))&lt;&gt;"")),"")</f>
        <v/>
      </c>
      <c r="Q186" t="str">
        <f>IF(AND(配置数据库!$C206="默认配置",INDEX(配置数据库!$G206:$AG206,1,MATCH($B$3,配置数据库!$G$8:$AG$8,0))&lt;&gt;""),SUMPRODUCT((配置数据库!$C$10:$C206="默认配置")*(INDEX(配置数据库!$G$10:$AG206,0,MATCH($B$3,配置数据库!$G$8:$AG$8,0))&lt;&gt;"")),"")</f>
        <v/>
      </c>
    </row>
    <row r="187" spans="16:17">
      <c r="P187" t="str">
        <f>IF(AND(配置数据库!$C207="售前填写",INDEX(配置数据库!$G207:$AG207,1,MATCH($B$3,配置数据库!$G$8:$AG$8,0))&lt;&gt;""),SUMPRODUCT((配置数据库!$C$10:$C207="售前填写")*(INDEX(配置数据库!$G$10:$AG207,0,MATCH($B$3,配置数据库!$G$8:$AG$8,0))&lt;&gt;"")),"")</f>
        <v/>
      </c>
      <c r="Q187" t="str">
        <f>IF(AND(配置数据库!$C207="默认配置",INDEX(配置数据库!$G207:$AG207,1,MATCH($B$3,配置数据库!$G$8:$AG$8,0))&lt;&gt;""),SUMPRODUCT((配置数据库!$C$10:$C207="默认配置")*(INDEX(配置数据库!$G$10:$AG207,0,MATCH($B$3,配置数据库!$G$8:$AG$8,0))&lt;&gt;"")),"")</f>
        <v/>
      </c>
    </row>
    <row r="188" spans="16:17">
      <c r="P188" t="str">
        <f>IF(AND(配置数据库!$C208="售前填写",INDEX(配置数据库!$G208:$AG208,1,MATCH($B$3,配置数据库!$G$8:$AG$8,0))&lt;&gt;""),SUMPRODUCT((配置数据库!$C$10:$C208="售前填写")*(INDEX(配置数据库!$G$10:$AG208,0,MATCH($B$3,配置数据库!$G$8:$AG$8,0))&lt;&gt;"")),"")</f>
        <v/>
      </c>
      <c r="Q188" t="str">
        <f>IF(AND(配置数据库!$C208="默认配置",INDEX(配置数据库!$G208:$AG208,1,MATCH($B$3,配置数据库!$G$8:$AG$8,0))&lt;&gt;""),SUMPRODUCT((配置数据库!$C$10:$C208="默认配置")*(INDEX(配置数据库!$G$10:$AG208,0,MATCH($B$3,配置数据库!$G$8:$AG$8,0))&lt;&gt;"")),"")</f>
        <v/>
      </c>
    </row>
    <row r="189" spans="16:17">
      <c r="P189" t="str">
        <f>IF(AND(配置数据库!$C209="售前填写",INDEX(配置数据库!$G209:$AG209,1,MATCH($B$3,配置数据库!$G$8:$AG$8,0))&lt;&gt;""),SUMPRODUCT((配置数据库!$C$10:$C209="售前填写")*(INDEX(配置数据库!$G$10:$AG209,0,MATCH($B$3,配置数据库!$G$8:$AG$8,0))&lt;&gt;"")),"")</f>
        <v/>
      </c>
      <c r="Q189" t="str">
        <f>IF(AND(配置数据库!$C209="默认配置",INDEX(配置数据库!$G209:$AG209,1,MATCH($B$3,配置数据库!$G$8:$AG$8,0))&lt;&gt;""),SUMPRODUCT((配置数据库!$C$10:$C209="默认配置")*(INDEX(配置数据库!$G$10:$AG209,0,MATCH($B$3,配置数据库!$G$8:$AG$8,0))&lt;&gt;"")),"")</f>
        <v/>
      </c>
    </row>
    <row r="190" spans="16:17">
      <c r="P190" t="str">
        <f>IF(AND(配置数据库!$C210="售前填写",INDEX(配置数据库!$G210:$AG210,1,MATCH($B$3,配置数据库!$G$8:$AG$8,0))&lt;&gt;""),SUMPRODUCT((配置数据库!$C$10:$C210="售前填写")*(INDEX(配置数据库!$G$10:$AG210,0,MATCH($B$3,配置数据库!$G$8:$AG$8,0))&lt;&gt;"")),"")</f>
        <v/>
      </c>
      <c r="Q190" t="str">
        <f>IF(AND(配置数据库!$C210="默认配置",INDEX(配置数据库!$G210:$AG210,1,MATCH($B$3,配置数据库!$G$8:$AG$8,0))&lt;&gt;""),SUMPRODUCT((配置数据库!$C$10:$C210="默认配置")*(INDEX(配置数据库!$G$10:$AG210,0,MATCH($B$3,配置数据库!$G$8:$AG$8,0))&lt;&gt;"")),"")</f>
        <v/>
      </c>
    </row>
    <row r="191" spans="16:17">
      <c r="P191" t="str">
        <f>IF(AND(配置数据库!$C211="售前填写",INDEX(配置数据库!$G211:$AG211,1,MATCH($B$3,配置数据库!$G$8:$AG$8,0))&lt;&gt;""),SUMPRODUCT((配置数据库!$C$10:$C211="售前填写")*(INDEX(配置数据库!$G$10:$AG211,0,MATCH($B$3,配置数据库!$G$8:$AG$8,0))&lt;&gt;"")),"")</f>
        <v/>
      </c>
      <c r="Q191" t="str">
        <f>IF(AND(配置数据库!$C211="默认配置",INDEX(配置数据库!$G211:$AG211,1,MATCH($B$3,配置数据库!$G$8:$AG$8,0))&lt;&gt;""),SUMPRODUCT((配置数据库!$C$10:$C211="默认配置")*(INDEX(配置数据库!$G$10:$AG211,0,MATCH($B$3,配置数据库!$G$8:$AG$8,0))&lt;&gt;"")),"")</f>
        <v/>
      </c>
    </row>
    <row r="192" spans="16:17">
      <c r="P192" t="str">
        <f>IF(AND(配置数据库!$C212="售前填写",INDEX(配置数据库!$G212:$AG212,1,MATCH($B$3,配置数据库!$G$8:$AG$8,0))&lt;&gt;""),SUMPRODUCT((配置数据库!$C$10:$C212="售前填写")*(INDEX(配置数据库!$G$10:$AG212,0,MATCH($B$3,配置数据库!$G$8:$AG$8,0))&lt;&gt;"")),"")</f>
        <v/>
      </c>
      <c r="Q192" t="str">
        <f>IF(AND(配置数据库!$C212="默认配置",INDEX(配置数据库!$G212:$AG212,1,MATCH($B$3,配置数据库!$G$8:$AG$8,0))&lt;&gt;""),SUMPRODUCT((配置数据库!$C$10:$C212="默认配置")*(INDEX(配置数据库!$G$10:$AG212,0,MATCH($B$3,配置数据库!$G$8:$AG$8,0))&lt;&gt;"")),"")</f>
        <v/>
      </c>
    </row>
    <row r="193" spans="16:17">
      <c r="P193" t="str">
        <f>IF(AND(配置数据库!$C213="售前填写",INDEX(配置数据库!$G213:$AG213,1,MATCH($B$3,配置数据库!$G$8:$AG$8,0))&lt;&gt;""),SUMPRODUCT((配置数据库!$C$10:$C213="售前填写")*(INDEX(配置数据库!$G$10:$AG213,0,MATCH($B$3,配置数据库!$G$8:$AG$8,0))&lt;&gt;"")),"")</f>
        <v/>
      </c>
      <c r="Q193" t="str">
        <f>IF(AND(配置数据库!$C213="默认配置",INDEX(配置数据库!$G213:$AG213,1,MATCH($B$3,配置数据库!$G$8:$AG$8,0))&lt;&gt;""),SUMPRODUCT((配置数据库!$C$10:$C213="默认配置")*(INDEX(配置数据库!$G$10:$AG213,0,MATCH($B$3,配置数据库!$G$8:$AG$8,0))&lt;&gt;"")),"")</f>
        <v/>
      </c>
    </row>
    <row r="194" spans="16:17">
      <c r="P194" t="str">
        <f>IF(AND(配置数据库!$C214="售前填写",INDEX(配置数据库!$G214:$AG214,1,MATCH($B$3,配置数据库!$G$8:$AG$8,0))&lt;&gt;""),SUMPRODUCT((配置数据库!$C$10:$C214="售前填写")*(INDEX(配置数据库!$G$10:$AG214,0,MATCH($B$3,配置数据库!$G$8:$AG$8,0))&lt;&gt;"")),"")</f>
        <v/>
      </c>
      <c r="Q194" t="str">
        <f>IF(AND(配置数据库!$C214="默认配置",INDEX(配置数据库!$G214:$AG214,1,MATCH($B$3,配置数据库!$G$8:$AG$8,0))&lt;&gt;""),SUMPRODUCT((配置数据库!$C$10:$C214="默认配置")*(INDEX(配置数据库!$G$10:$AG214,0,MATCH($B$3,配置数据库!$G$8:$AG$8,0))&lt;&gt;"")),"")</f>
        <v/>
      </c>
    </row>
    <row r="195" spans="16:17">
      <c r="P195" t="str">
        <f>IF(AND(配置数据库!$C215="售前填写",INDEX(配置数据库!$G215:$AG215,1,MATCH($B$3,配置数据库!$G$8:$AG$8,0))&lt;&gt;""),SUMPRODUCT((配置数据库!$C$10:$C215="售前填写")*(INDEX(配置数据库!$G$10:$AG215,0,MATCH($B$3,配置数据库!$G$8:$AG$8,0))&lt;&gt;"")),"")</f>
        <v/>
      </c>
      <c r="Q195" t="str">
        <f>IF(AND(配置数据库!$C215="默认配置",INDEX(配置数据库!$G215:$AG215,1,MATCH($B$3,配置数据库!$G$8:$AG$8,0))&lt;&gt;""),SUMPRODUCT((配置数据库!$C$10:$C215="默认配置")*(INDEX(配置数据库!$G$10:$AG215,0,MATCH($B$3,配置数据库!$G$8:$AG$8,0))&lt;&gt;"")),"")</f>
        <v/>
      </c>
    </row>
    <row r="196" spans="16:17">
      <c r="P196" t="str">
        <f>IF(AND(配置数据库!$C216="售前填写",INDEX(配置数据库!$G216:$AG216,1,MATCH($B$3,配置数据库!$G$8:$AG$8,0))&lt;&gt;""),SUMPRODUCT((配置数据库!$C$10:$C216="售前填写")*(INDEX(配置数据库!$G$10:$AG216,0,MATCH($B$3,配置数据库!$G$8:$AG$8,0))&lt;&gt;"")),"")</f>
        <v/>
      </c>
      <c r="Q196" t="str">
        <f>IF(AND(配置数据库!$C216="默认配置",INDEX(配置数据库!$G216:$AG216,1,MATCH($B$3,配置数据库!$G$8:$AG$8,0))&lt;&gt;""),SUMPRODUCT((配置数据库!$C$10:$C216="默认配置")*(INDEX(配置数据库!$G$10:$AG216,0,MATCH($B$3,配置数据库!$G$8:$AG$8,0))&lt;&gt;"")),"")</f>
        <v/>
      </c>
    </row>
    <row r="197" spans="16:17">
      <c r="P197" t="str">
        <f>IF(AND(配置数据库!$C217="售前填写",INDEX(配置数据库!$G217:$AG217,1,MATCH($B$3,配置数据库!$G$8:$AG$8,0))&lt;&gt;""),SUMPRODUCT((配置数据库!$C$10:$C217="售前填写")*(INDEX(配置数据库!$G$10:$AG217,0,MATCH($B$3,配置数据库!$G$8:$AG$8,0))&lt;&gt;"")),"")</f>
        <v/>
      </c>
      <c r="Q197" t="str">
        <f>IF(AND(配置数据库!$C217="默认配置",INDEX(配置数据库!$G217:$AG217,1,MATCH($B$3,配置数据库!$G$8:$AG$8,0))&lt;&gt;""),SUMPRODUCT((配置数据库!$C$10:$C217="默认配置")*(INDEX(配置数据库!$G$10:$AG217,0,MATCH($B$3,配置数据库!$G$8:$AG$8,0))&lt;&gt;"")),"")</f>
        <v/>
      </c>
    </row>
    <row r="198" spans="16:17">
      <c r="P198" t="str">
        <f>IF(AND(配置数据库!$C218="售前填写",INDEX(配置数据库!$G218:$AG218,1,MATCH($B$3,配置数据库!$G$8:$AG$8,0))&lt;&gt;""),SUMPRODUCT((配置数据库!$C$10:$C218="售前填写")*(INDEX(配置数据库!$G$10:$AG218,0,MATCH($B$3,配置数据库!$G$8:$AG$8,0))&lt;&gt;"")),"")</f>
        <v/>
      </c>
      <c r="Q198" t="str">
        <f>IF(AND(配置数据库!$C218="默认配置",INDEX(配置数据库!$G218:$AG218,1,MATCH($B$3,配置数据库!$G$8:$AG$8,0))&lt;&gt;""),SUMPRODUCT((配置数据库!$C$10:$C218="默认配置")*(INDEX(配置数据库!$G$10:$AG218,0,MATCH($B$3,配置数据库!$G$8:$AG$8,0))&lt;&gt;"")),"")</f>
        <v/>
      </c>
    </row>
    <row r="199" spans="16:17">
      <c r="P199" t="str">
        <f>IF(AND(配置数据库!$C219="售前填写",INDEX(配置数据库!$G219:$AG219,1,MATCH($B$3,配置数据库!$G$8:$AG$8,0))&lt;&gt;""),SUMPRODUCT((配置数据库!$C$10:$C219="售前填写")*(INDEX(配置数据库!$G$10:$AG219,0,MATCH($B$3,配置数据库!$G$8:$AG$8,0))&lt;&gt;"")),"")</f>
        <v/>
      </c>
      <c r="Q199" t="str">
        <f>IF(AND(配置数据库!$C219="默认配置",INDEX(配置数据库!$G219:$AG219,1,MATCH($B$3,配置数据库!$G$8:$AG$8,0))&lt;&gt;""),SUMPRODUCT((配置数据库!$C$10:$C219="默认配置")*(INDEX(配置数据库!$G$10:$AG219,0,MATCH($B$3,配置数据库!$G$8:$AG$8,0))&lt;&gt;"")),"")</f>
        <v/>
      </c>
    </row>
    <row r="200" spans="16:17">
      <c r="P200" t="str">
        <f>IF(AND(配置数据库!$C220="售前填写",INDEX(配置数据库!$G220:$AG220,1,MATCH($B$3,配置数据库!$G$8:$AG$8,0))&lt;&gt;""),SUMPRODUCT((配置数据库!$C$10:$C220="售前填写")*(INDEX(配置数据库!$G$10:$AG220,0,MATCH($B$3,配置数据库!$G$8:$AG$8,0))&lt;&gt;"")),"")</f>
        <v/>
      </c>
      <c r="Q200" t="str">
        <f>IF(AND(配置数据库!$C220="默认配置",INDEX(配置数据库!$G220:$AG220,1,MATCH($B$3,配置数据库!$G$8:$AG$8,0))&lt;&gt;""),SUMPRODUCT((配置数据库!$C$10:$C220="默认配置")*(INDEX(配置数据库!$G$10:$AG220,0,MATCH($B$3,配置数据库!$G$8:$AG$8,0))&lt;&gt;"")),"")</f>
        <v/>
      </c>
    </row>
  </sheetData>
  <autoFilter xmlns:etc="http://www.wps.cn/officeDocument/2017/etCustomData" ref="A8:D113" etc:filterBottomFollowUsedRange="0">
    <extLst/>
  </autoFilter>
  <mergeCells count="4">
    <mergeCell ref="A1:D1"/>
    <mergeCell ref="B6:D6"/>
    <mergeCell ref="A9:D9"/>
    <mergeCell ref="A42:D42"/>
  </mergeCells>
  <dataValidations count="2">
    <dataValidation type="list" sqref="B3">
      <formula1>配置数据库!$G$8:$AG$8</formula1>
    </dataValidation>
    <dataValidation type="list" allowBlank="1" sqref="B10:B41 B43:B113">
      <formula1>IF(ISNUMBER(SEARCH("；",SUBSTITUTE($E10,";","；"))),$F10:$O10,$Z$1)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25"/>
  <sheetViews>
    <sheetView showGridLines="0" tabSelected="1" workbookViewId="0">
      <pane xSplit="6" ySplit="8" topLeftCell="AD9" activePane="bottomRight" state="frozen"/>
      <selection/>
      <selection pane="topRight"/>
      <selection pane="bottomLeft"/>
      <selection pane="bottomRight" activeCell="AH20" sqref="AH20"/>
    </sheetView>
  </sheetViews>
  <sheetFormatPr defaultColWidth="9" defaultRowHeight="13.5"/>
  <cols>
    <col min="1" max="1" width="22" customWidth="1"/>
    <col min="2" max="2" width="34" customWidth="1"/>
    <col min="3" max="3" width="16" customWidth="1"/>
    <col min="4" max="4" width="14.3416666666667" customWidth="1"/>
    <col min="5" max="5" width="11.075" customWidth="1"/>
    <col min="6" max="6" width="15.1333333333333" style="1" customWidth="1"/>
    <col min="7" max="33" width="30" customWidth="1"/>
    <col min="34" max="34" width="43.125" customWidth="1"/>
  </cols>
  <sheetData>
    <row r="1" spans="1:34">
      <c r="A1" s="4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13</v>
      </c>
    </row>
    <row r="2" spans="1:34">
      <c r="A2" s="6" t="s">
        <v>3</v>
      </c>
      <c r="C2" s="7" t="s">
        <v>23</v>
      </c>
      <c r="D2" t="s">
        <v>24</v>
      </c>
      <c r="E2" t="s">
        <v>25</v>
      </c>
    </row>
    <row r="3" spans="1:34">
      <c r="A3" s="6" t="s">
        <v>5</v>
      </c>
      <c r="C3" s="7" t="s">
        <v>23</v>
      </c>
      <c r="D3" t="s">
        <v>24</v>
      </c>
      <c r="E3" t="s">
        <v>25</v>
      </c>
    </row>
    <row r="4" spans="1:34">
      <c r="A4" s="6" t="s">
        <v>26</v>
      </c>
      <c r="C4" s="7" t="s">
        <v>23</v>
      </c>
      <c r="D4" t="s">
        <v>24</v>
      </c>
      <c r="E4" t="s">
        <v>25</v>
      </c>
    </row>
    <row r="5" spans="1:34">
      <c r="A5" s="6" t="s">
        <v>6</v>
      </c>
      <c r="C5" s="7" t="s">
        <v>23</v>
      </c>
      <c r="D5" t="s">
        <v>24</v>
      </c>
      <c r="E5" t="s">
        <v>25</v>
      </c>
    </row>
    <row r="6" spans="1:34">
      <c r="A6" s="6" t="s">
        <v>7</v>
      </c>
      <c r="C6" s="7" t="s">
        <v>23</v>
      </c>
      <c r="D6" t="s">
        <v>24</v>
      </c>
      <c r="E6" t="s">
        <v>25</v>
      </c>
    </row>
    <row r="7" spans="1:34">
      <c r="A7" s="6" t="s">
        <v>27</v>
      </c>
      <c r="C7" s="7" t="s">
        <v>23</v>
      </c>
      <c r="D7" t="s">
        <v>24</v>
      </c>
      <c r="E7" t="s">
        <v>25</v>
      </c>
    </row>
    <row r="8" spans="1:34">
      <c r="A8" s="4" t="s">
        <v>28</v>
      </c>
      <c r="B8" s="5" t="s">
        <v>19</v>
      </c>
      <c r="C8" s="5" t="s">
        <v>20</v>
      </c>
      <c r="D8" s="5" t="s">
        <v>21</v>
      </c>
      <c r="E8" s="5" t="s">
        <v>22</v>
      </c>
      <c r="F8" s="5" t="s">
        <v>13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2</v>
      </c>
      <c r="N8" t="s">
        <v>35</v>
      </c>
      <c r="O8" t="s">
        <v>36</v>
      </c>
      <c r="P8" t="s">
        <v>37</v>
      </c>
      <c r="Q8" t="s">
        <v>38</v>
      </c>
      <c r="R8" t="s">
        <v>39</v>
      </c>
      <c r="S8" t="s">
        <v>40</v>
      </c>
      <c r="T8" t="s">
        <v>41</v>
      </c>
      <c r="U8" t="s">
        <v>42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  <c r="AB8" t="s">
        <v>49</v>
      </c>
      <c r="AC8" t="s">
        <v>50</v>
      </c>
      <c r="AD8" t="s">
        <v>51</v>
      </c>
      <c r="AE8" t="s">
        <v>52</v>
      </c>
      <c r="AF8" t="s">
        <v>53</v>
      </c>
      <c r="AG8" t="s">
        <v>54</v>
      </c>
      <c r="AH8" t="s">
        <v>55</v>
      </c>
    </row>
    <row r="9" ht="67.5" spans="1:34">
      <c r="A9" s="6" t="s">
        <v>56</v>
      </c>
      <c r="B9" s="7"/>
      <c r="C9" s="7" t="s">
        <v>57</v>
      </c>
      <c r="D9" t="s">
        <v>58</v>
      </c>
      <c r="E9" t="s">
        <v>59</v>
      </c>
      <c r="F9" s="1" t="s">
        <v>60</v>
      </c>
      <c r="G9">
        <v>1</v>
      </c>
      <c r="H9">
        <v>1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1</v>
      </c>
      <c r="P9">
        <v>10</v>
      </c>
      <c r="Q9">
        <v>10</v>
      </c>
      <c r="R9">
        <v>10</v>
      </c>
      <c r="S9">
        <v>1</v>
      </c>
      <c r="T9">
        <v>1</v>
      </c>
      <c r="U9">
        <v>1</v>
      </c>
      <c r="V9">
        <v>5</v>
      </c>
      <c r="W9">
        <v>5</v>
      </c>
      <c r="X9">
        <v>5</v>
      </c>
      <c r="Y9">
        <v>1</v>
      </c>
      <c r="Z9">
        <v>1</v>
      </c>
      <c r="AA9">
        <v>1</v>
      </c>
      <c r="AB9">
        <v>5</v>
      </c>
      <c r="AC9">
        <v>5</v>
      </c>
      <c r="AD9">
        <v>5</v>
      </c>
      <c r="AE9">
        <v>1</v>
      </c>
      <c r="AF9">
        <v>1</v>
      </c>
      <c r="AG9">
        <v>10</v>
      </c>
      <c r="AH9">
        <v>1</v>
      </c>
    </row>
    <row r="10" ht="27" spans="1:34">
      <c r="A10" s="6" t="s">
        <v>61</v>
      </c>
      <c r="B10" s="7" t="s">
        <v>4</v>
      </c>
      <c r="C10" s="7" t="s">
        <v>23</v>
      </c>
      <c r="D10" t="s">
        <v>62</v>
      </c>
      <c r="E10" t="s">
        <v>25</v>
      </c>
      <c r="F10" s="1" t="s">
        <v>63</v>
      </c>
      <c r="M10" t="s">
        <v>64</v>
      </c>
      <c r="N10" t="s">
        <v>64</v>
      </c>
      <c r="O10" t="s">
        <v>64</v>
      </c>
      <c r="P10" t="s">
        <v>4</v>
      </c>
      <c r="Q10" t="s">
        <v>4</v>
      </c>
      <c r="R10" t="s">
        <v>4</v>
      </c>
      <c r="S10" t="s">
        <v>4</v>
      </c>
      <c r="T10" t="s">
        <v>4</v>
      </c>
      <c r="U10" t="s">
        <v>4</v>
      </c>
      <c r="V10" t="s">
        <v>4</v>
      </c>
      <c r="W10" t="s">
        <v>4</v>
      </c>
      <c r="X10" t="s">
        <v>4</v>
      </c>
      <c r="Y10" t="s">
        <v>4</v>
      </c>
      <c r="Z10" t="s">
        <v>4</v>
      </c>
      <c r="AA10" t="s">
        <v>4</v>
      </c>
      <c r="AB10" t="s">
        <v>4</v>
      </c>
      <c r="AC10" t="s">
        <v>4</v>
      </c>
      <c r="AD10" t="s">
        <v>4</v>
      </c>
      <c r="AE10" t="s">
        <v>4</v>
      </c>
      <c r="AF10" t="s">
        <v>4</v>
      </c>
      <c r="AG10" t="s">
        <v>4</v>
      </c>
    </row>
    <row r="11" ht="94.5" spans="1:34">
      <c r="A11" s="6" t="s">
        <v>65</v>
      </c>
      <c r="B11" s="7" t="s">
        <v>4</v>
      </c>
      <c r="C11" s="7" t="s">
        <v>23</v>
      </c>
      <c r="D11" t="s">
        <v>24</v>
      </c>
      <c r="E11" t="s">
        <v>25</v>
      </c>
      <c r="F11" s="1" t="s">
        <v>66</v>
      </c>
      <c r="G11" t="s">
        <v>67</v>
      </c>
      <c r="H11" t="s">
        <v>67</v>
      </c>
      <c r="I11" t="s">
        <v>68</v>
      </c>
      <c r="J11" t="s">
        <v>68</v>
      </c>
      <c r="K11" t="s">
        <v>68</v>
      </c>
      <c r="L11" t="s">
        <v>68</v>
      </c>
      <c r="M11" t="s">
        <v>69</v>
      </c>
      <c r="N11" t="s">
        <v>69</v>
      </c>
      <c r="O11" t="s">
        <v>70</v>
      </c>
      <c r="P11" t="s">
        <v>4</v>
      </c>
      <c r="Q11" t="s">
        <v>4</v>
      </c>
      <c r="R11" t="s">
        <v>4</v>
      </c>
      <c r="S11" t="s">
        <v>4</v>
      </c>
      <c r="T11" t="s">
        <v>4</v>
      </c>
      <c r="U11" t="s">
        <v>4</v>
      </c>
      <c r="V11" t="s">
        <v>4</v>
      </c>
      <c r="W11" t="s">
        <v>4</v>
      </c>
      <c r="X11" t="s">
        <v>4</v>
      </c>
      <c r="Y11" t="s">
        <v>4</v>
      </c>
      <c r="Z11" t="s">
        <v>4</v>
      </c>
      <c r="AA11" t="s">
        <v>4</v>
      </c>
      <c r="AB11" t="s">
        <v>4</v>
      </c>
      <c r="AC11" t="s">
        <v>4</v>
      </c>
      <c r="AD11" t="s">
        <v>4</v>
      </c>
      <c r="AE11" t="s">
        <v>4</v>
      </c>
      <c r="AF11" t="s">
        <v>4</v>
      </c>
      <c r="AG11" t="s">
        <v>4</v>
      </c>
      <c r="AH11" t="s">
        <v>4</v>
      </c>
    </row>
    <row r="12" ht="40.5" spans="1:34">
      <c r="A12" s="6" t="s">
        <v>71</v>
      </c>
      <c r="B12" s="7" t="s">
        <v>4</v>
      </c>
      <c r="C12" s="7" t="s">
        <v>23</v>
      </c>
      <c r="D12" t="s">
        <v>24</v>
      </c>
      <c r="E12" t="s">
        <v>25</v>
      </c>
      <c r="F12" s="1" t="s">
        <v>72</v>
      </c>
      <c r="G12">
        <v>1150</v>
      </c>
      <c r="H12">
        <v>1150</v>
      </c>
      <c r="I12">
        <v>1150</v>
      </c>
      <c r="J12">
        <v>1150</v>
      </c>
      <c r="K12">
        <v>1150</v>
      </c>
      <c r="L12">
        <v>1150</v>
      </c>
      <c r="M12">
        <v>1170</v>
      </c>
      <c r="N12">
        <v>1170</v>
      </c>
      <c r="O12">
        <v>1200</v>
      </c>
      <c r="P12" t="s">
        <v>4</v>
      </c>
      <c r="Q12" t="s">
        <v>4</v>
      </c>
      <c r="R12" t="s">
        <v>4</v>
      </c>
      <c r="S12" t="s">
        <v>4</v>
      </c>
      <c r="T12" t="s">
        <v>4</v>
      </c>
      <c r="U12" t="s">
        <v>4</v>
      </c>
      <c r="V12" t="s">
        <v>4</v>
      </c>
      <c r="W12" t="s">
        <v>4</v>
      </c>
      <c r="X12" t="s">
        <v>4</v>
      </c>
      <c r="Y12" t="s">
        <v>4</v>
      </c>
      <c r="Z12" t="s">
        <v>4</v>
      </c>
      <c r="AA12" t="s">
        <v>4</v>
      </c>
      <c r="AB12" t="s">
        <v>4</v>
      </c>
      <c r="AC12" t="s">
        <v>4</v>
      </c>
      <c r="AD12" t="s">
        <v>4</v>
      </c>
      <c r="AE12" t="s">
        <v>4</v>
      </c>
      <c r="AF12" t="s">
        <v>4</v>
      </c>
      <c r="AG12" t="s">
        <v>4</v>
      </c>
      <c r="AH12" t="s">
        <v>4</v>
      </c>
    </row>
    <row r="13" spans="1:34">
      <c r="A13" s="6" t="s">
        <v>73</v>
      </c>
      <c r="B13" s="7" t="s">
        <v>4</v>
      </c>
      <c r="C13" s="7" t="s">
        <v>23</v>
      </c>
      <c r="D13" t="s">
        <v>24</v>
      </c>
      <c r="E13" t="s">
        <v>25</v>
      </c>
      <c r="G13" t="s">
        <v>74</v>
      </c>
      <c r="H13" t="s">
        <v>74</v>
      </c>
      <c r="I13">
        <v>4500</v>
      </c>
      <c r="J13">
        <v>4500</v>
      </c>
      <c r="K13">
        <v>3000</v>
      </c>
      <c r="L13">
        <v>3000</v>
      </c>
      <c r="O13" t="s">
        <v>75</v>
      </c>
      <c r="P13" t="s">
        <v>4</v>
      </c>
      <c r="Q13" t="s">
        <v>4</v>
      </c>
      <c r="R13" t="s">
        <v>4</v>
      </c>
      <c r="S13" t="s">
        <v>4</v>
      </c>
      <c r="T13" t="s">
        <v>4</v>
      </c>
      <c r="U13" t="s">
        <v>4</v>
      </c>
      <c r="V13" t="s">
        <v>4</v>
      </c>
      <c r="W13" t="s">
        <v>4</v>
      </c>
      <c r="X13" t="s">
        <v>4</v>
      </c>
      <c r="Y13" t="s">
        <v>4</v>
      </c>
      <c r="Z13" t="s">
        <v>4</v>
      </c>
      <c r="AA13" t="s">
        <v>4</v>
      </c>
      <c r="AB13" t="s">
        <v>4</v>
      </c>
      <c r="AC13" t="s">
        <v>4</v>
      </c>
      <c r="AD13" t="s">
        <v>4</v>
      </c>
      <c r="AE13" t="s">
        <v>4</v>
      </c>
      <c r="AF13" t="s">
        <v>4</v>
      </c>
      <c r="AG13" t="s">
        <v>4</v>
      </c>
      <c r="AH13" t="s">
        <v>4</v>
      </c>
    </row>
    <row r="14" spans="1:34">
      <c r="A14" s="6" t="s">
        <v>76</v>
      </c>
      <c r="B14" s="7" t="s">
        <v>4</v>
      </c>
      <c r="C14" s="7" t="s">
        <v>23</v>
      </c>
      <c r="D14" t="s">
        <v>62</v>
      </c>
      <c r="E14" t="s">
        <v>25</v>
      </c>
      <c r="G14" t="s">
        <v>64</v>
      </c>
      <c r="H14" t="s">
        <v>64</v>
      </c>
      <c r="I14" t="s">
        <v>77</v>
      </c>
      <c r="J14" t="s">
        <v>77</v>
      </c>
      <c r="K14" t="s">
        <v>77</v>
      </c>
      <c r="L14" t="s">
        <v>77</v>
      </c>
      <c r="O14" t="s">
        <v>64</v>
      </c>
      <c r="P14" t="s">
        <v>4</v>
      </c>
      <c r="Q14" t="s">
        <v>4</v>
      </c>
      <c r="R14" t="s">
        <v>4</v>
      </c>
      <c r="S14" t="s">
        <v>4</v>
      </c>
      <c r="T14" t="s">
        <v>4</v>
      </c>
      <c r="U14" t="s">
        <v>4</v>
      </c>
      <c r="V14" t="s">
        <v>4</v>
      </c>
      <c r="W14" t="s">
        <v>4</v>
      </c>
      <c r="X14" t="s">
        <v>4</v>
      </c>
      <c r="Y14" t="s">
        <v>4</v>
      </c>
      <c r="Z14" t="s">
        <v>4</v>
      </c>
      <c r="AA14" t="s">
        <v>4</v>
      </c>
      <c r="AB14" t="s">
        <v>4</v>
      </c>
      <c r="AC14" t="s">
        <v>4</v>
      </c>
      <c r="AD14" t="s">
        <v>4</v>
      </c>
      <c r="AE14" t="s">
        <v>4</v>
      </c>
      <c r="AF14" t="s">
        <v>4</v>
      </c>
      <c r="AG14" t="s">
        <v>4</v>
      </c>
      <c r="AH14" t="s">
        <v>4</v>
      </c>
    </row>
    <row r="15" ht="54" spans="1:34">
      <c r="A15" s="6" t="s">
        <v>78</v>
      </c>
      <c r="B15" s="7" t="s">
        <v>4</v>
      </c>
      <c r="C15" s="7" t="s">
        <v>23</v>
      </c>
      <c r="D15" t="s">
        <v>62</v>
      </c>
      <c r="E15" t="s">
        <v>25</v>
      </c>
      <c r="F15" s="1" t="s">
        <v>79</v>
      </c>
      <c r="I15" t="s">
        <v>80</v>
      </c>
      <c r="J15" t="s">
        <v>80</v>
      </c>
      <c r="K15" t="s">
        <v>80</v>
      </c>
      <c r="L15" t="s">
        <v>80</v>
      </c>
      <c r="O15" t="s">
        <v>81</v>
      </c>
      <c r="P15" t="s">
        <v>4</v>
      </c>
      <c r="Q15" t="s">
        <v>4</v>
      </c>
      <c r="R15" t="s">
        <v>4</v>
      </c>
      <c r="S15" t="s">
        <v>4</v>
      </c>
      <c r="T15" t="s">
        <v>4</v>
      </c>
      <c r="U15" t="s">
        <v>4</v>
      </c>
      <c r="V15" t="s">
        <v>4</v>
      </c>
      <c r="W15" t="s">
        <v>4</v>
      </c>
      <c r="X15" t="s">
        <v>4</v>
      </c>
      <c r="Y15" t="s">
        <v>4</v>
      </c>
      <c r="Z15" t="s">
        <v>4</v>
      </c>
      <c r="AA15" t="s">
        <v>4</v>
      </c>
      <c r="AB15" t="s">
        <v>4</v>
      </c>
      <c r="AC15" t="s">
        <v>4</v>
      </c>
      <c r="AD15" t="s">
        <v>4</v>
      </c>
      <c r="AE15" t="s">
        <v>4</v>
      </c>
      <c r="AF15" t="s">
        <v>4</v>
      </c>
      <c r="AG15" t="s">
        <v>4</v>
      </c>
      <c r="AH15" t="s">
        <v>4</v>
      </c>
    </row>
    <row r="16" ht="54" spans="1:34">
      <c r="A16" s="6" t="s">
        <v>82</v>
      </c>
      <c r="B16" s="7" t="s">
        <v>4</v>
      </c>
      <c r="C16" s="7" t="s">
        <v>23</v>
      </c>
      <c r="D16" t="s">
        <v>62</v>
      </c>
      <c r="E16" t="s">
        <v>25</v>
      </c>
      <c r="F16" s="1" t="s">
        <v>79</v>
      </c>
      <c r="I16" t="s">
        <v>83</v>
      </c>
      <c r="J16" t="s">
        <v>83</v>
      </c>
      <c r="K16" t="s">
        <v>83</v>
      </c>
      <c r="L16" t="s">
        <v>83</v>
      </c>
      <c r="O16" t="s">
        <v>84</v>
      </c>
      <c r="P16" t="s">
        <v>4</v>
      </c>
      <c r="Q16" t="s">
        <v>4</v>
      </c>
      <c r="R16" t="s">
        <v>4</v>
      </c>
      <c r="S16" t="s">
        <v>4</v>
      </c>
      <c r="T16" t="s">
        <v>4</v>
      </c>
      <c r="U16" t="s">
        <v>4</v>
      </c>
      <c r="V16" t="s">
        <v>4</v>
      </c>
      <c r="W16" t="s">
        <v>4</v>
      </c>
      <c r="X16" t="s">
        <v>4</v>
      </c>
      <c r="Y16" t="s">
        <v>4</v>
      </c>
      <c r="Z16" t="s">
        <v>4</v>
      </c>
      <c r="AA16" t="s">
        <v>4</v>
      </c>
      <c r="AB16" t="s">
        <v>4</v>
      </c>
      <c r="AC16" t="s">
        <v>4</v>
      </c>
      <c r="AD16" t="s">
        <v>4</v>
      </c>
      <c r="AE16" t="s">
        <v>4</v>
      </c>
      <c r="AF16" t="s">
        <v>4</v>
      </c>
      <c r="AG16" t="s">
        <v>4</v>
      </c>
      <c r="AH16" t="s">
        <v>4</v>
      </c>
    </row>
    <row r="17" ht="54" spans="1:34">
      <c r="A17" s="6" t="s">
        <v>85</v>
      </c>
      <c r="B17" s="7" t="s">
        <v>4</v>
      </c>
      <c r="C17" s="7" t="s">
        <v>23</v>
      </c>
      <c r="D17" t="s">
        <v>62</v>
      </c>
      <c r="E17" t="s">
        <v>25</v>
      </c>
      <c r="F17" s="1" t="s">
        <v>79</v>
      </c>
      <c r="G17" t="s">
        <v>4</v>
      </c>
      <c r="H17" t="s">
        <v>4</v>
      </c>
      <c r="I17" t="s">
        <v>64</v>
      </c>
      <c r="J17" t="s">
        <v>64</v>
      </c>
      <c r="K17" t="s">
        <v>64</v>
      </c>
      <c r="L17" t="s">
        <v>64</v>
      </c>
      <c r="M17" t="s">
        <v>4</v>
      </c>
      <c r="N17" t="s">
        <v>4</v>
      </c>
      <c r="O17" t="s">
        <v>86</v>
      </c>
      <c r="P17" t="s">
        <v>4</v>
      </c>
      <c r="Q17" t="s">
        <v>4</v>
      </c>
      <c r="R17" t="s">
        <v>4</v>
      </c>
      <c r="S17" t="s">
        <v>4</v>
      </c>
      <c r="T17" t="s">
        <v>4</v>
      </c>
      <c r="U17" t="s">
        <v>4</v>
      </c>
      <c r="V17" t="s">
        <v>4</v>
      </c>
      <c r="W17" t="s">
        <v>4</v>
      </c>
      <c r="X17" t="s">
        <v>4</v>
      </c>
      <c r="Y17" t="s">
        <v>4</v>
      </c>
      <c r="Z17" t="s">
        <v>4</v>
      </c>
      <c r="AA17" t="s">
        <v>4</v>
      </c>
      <c r="AB17" t="s">
        <v>4</v>
      </c>
      <c r="AC17" t="s">
        <v>4</v>
      </c>
      <c r="AD17" t="s">
        <v>4</v>
      </c>
      <c r="AE17" t="s">
        <v>4</v>
      </c>
      <c r="AF17" t="s">
        <v>4</v>
      </c>
      <c r="AG17" t="s">
        <v>4</v>
      </c>
      <c r="AH17" t="s">
        <v>4</v>
      </c>
    </row>
    <row r="18" ht="67.5" spans="1:34">
      <c r="A18" s="6" t="s">
        <v>87</v>
      </c>
      <c r="B18" s="7"/>
      <c r="C18" s="7" t="s">
        <v>23</v>
      </c>
      <c r="D18" t="s">
        <v>62</v>
      </c>
      <c r="E18" t="s">
        <v>25</v>
      </c>
      <c r="F18" s="1" t="s">
        <v>88</v>
      </c>
      <c r="G18" t="s">
        <v>64</v>
      </c>
      <c r="H18" t="s">
        <v>64</v>
      </c>
      <c r="I18" t="s">
        <v>64</v>
      </c>
      <c r="J18" t="s">
        <v>64</v>
      </c>
      <c r="K18" t="s">
        <v>64</v>
      </c>
      <c r="L18" t="s">
        <v>64</v>
      </c>
      <c r="M18" t="s">
        <v>64</v>
      </c>
      <c r="N18" t="s">
        <v>64</v>
      </c>
      <c r="O18" t="s">
        <v>64</v>
      </c>
    </row>
    <row r="19" ht="27" spans="1:34">
      <c r="A19" s="6" t="s">
        <v>89</v>
      </c>
      <c r="B19" s="7" t="s">
        <v>4</v>
      </c>
      <c r="C19" s="7" t="s">
        <v>23</v>
      </c>
      <c r="D19" t="s">
        <v>62</v>
      </c>
      <c r="E19" t="s">
        <v>25</v>
      </c>
      <c r="F19" s="1" t="s">
        <v>90</v>
      </c>
      <c r="G19" t="s">
        <v>64</v>
      </c>
      <c r="H19" t="s">
        <v>64</v>
      </c>
      <c r="I19" t="s">
        <v>64</v>
      </c>
      <c r="J19" t="s">
        <v>64</v>
      </c>
      <c r="K19" t="s">
        <v>64</v>
      </c>
      <c r="L19" t="s">
        <v>64</v>
      </c>
      <c r="M19" t="s">
        <v>64</v>
      </c>
      <c r="N19" t="s">
        <v>64</v>
      </c>
      <c r="O19" t="s">
        <v>64</v>
      </c>
      <c r="P19" t="s">
        <v>64</v>
      </c>
      <c r="Q19" t="s">
        <v>64</v>
      </c>
      <c r="R19" t="s">
        <v>64</v>
      </c>
      <c r="S19" t="s">
        <v>64</v>
      </c>
      <c r="T19" t="s">
        <v>64</v>
      </c>
      <c r="U19" t="s">
        <v>64</v>
      </c>
      <c r="V19" t="s">
        <v>64</v>
      </c>
      <c r="W19" t="s">
        <v>64</v>
      </c>
      <c r="X19" t="s">
        <v>64</v>
      </c>
      <c r="Y19" t="s">
        <v>64</v>
      </c>
      <c r="Z19" t="s">
        <v>64</v>
      </c>
      <c r="AA19" t="s">
        <v>64</v>
      </c>
      <c r="AB19" t="s">
        <v>64</v>
      </c>
      <c r="AC19" t="s">
        <v>64</v>
      </c>
      <c r="AD19" t="s">
        <v>64</v>
      </c>
      <c r="AE19" t="s">
        <v>64</v>
      </c>
      <c r="AF19" t="s">
        <v>64</v>
      </c>
      <c r="AG19" t="s">
        <v>64</v>
      </c>
      <c r="AH19" t="s">
        <v>64</v>
      </c>
    </row>
    <row r="20" ht="94.5" spans="1:34">
      <c r="A20" s="6" t="s">
        <v>91</v>
      </c>
      <c r="B20" s="7" t="s">
        <v>4</v>
      </c>
      <c r="C20" s="7" t="s">
        <v>23</v>
      </c>
      <c r="D20" t="s">
        <v>62</v>
      </c>
      <c r="E20" t="s">
        <v>25</v>
      </c>
      <c r="F20" s="1" t="s">
        <v>92</v>
      </c>
      <c r="I20" t="s">
        <v>93</v>
      </c>
      <c r="J20" t="s">
        <v>93</v>
      </c>
      <c r="K20" t="s">
        <v>93</v>
      </c>
      <c r="L20" t="s">
        <v>93</v>
      </c>
      <c r="O20" t="s">
        <v>93</v>
      </c>
      <c r="P20" t="s">
        <v>94</v>
      </c>
      <c r="Q20" t="s">
        <v>94</v>
      </c>
      <c r="R20" t="s">
        <v>94</v>
      </c>
      <c r="S20" t="s">
        <v>94</v>
      </c>
      <c r="T20" t="s">
        <v>94</v>
      </c>
      <c r="U20" t="s">
        <v>93</v>
      </c>
      <c r="V20" t="s">
        <v>94</v>
      </c>
      <c r="W20" t="s">
        <v>94</v>
      </c>
      <c r="X20" t="s">
        <v>93</v>
      </c>
      <c r="Y20" t="s">
        <v>94</v>
      </c>
      <c r="Z20" t="s">
        <v>94</v>
      </c>
      <c r="AA20" t="s">
        <v>93</v>
      </c>
      <c r="AB20" t="s">
        <v>94</v>
      </c>
      <c r="AC20" t="s">
        <v>94</v>
      </c>
      <c r="AD20" t="s">
        <v>93</v>
      </c>
      <c r="AE20" t="s">
        <v>94</v>
      </c>
      <c r="AF20" t="s">
        <v>94</v>
      </c>
      <c r="AG20" t="s">
        <v>94</v>
      </c>
      <c r="AH20" t="s">
        <v>94</v>
      </c>
    </row>
    <row r="21" spans="1:34">
      <c r="A21" s="6" t="s">
        <v>95</v>
      </c>
      <c r="B21" s="7" t="s">
        <v>4</v>
      </c>
      <c r="C21" s="7" t="s">
        <v>23</v>
      </c>
      <c r="D21" t="s">
        <v>62</v>
      </c>
      <c r="E21" t="s">
        <v>25</v>
      </c>
      <c r="F21" s="1" t="s">
        <v>96</v>
      </c>
      <c r="G21" t="s">
        <v>4</v>
      </c>
      <c r="H21" t="s">
        <v>4</v>
      </c>
      <c r="I21" t="s">
        <v>4</v>
      </c>
      <c r="J21" t="s">
        <v>4</v>
      </c>
      <c r="K21" t="s">
        <v>4</v>
      </c>
      <c r="L21" t="s">
        <v>4</v>
      </c>
      <c r="M21" t="s">
        <v>4</v>
      </c>
      <c r="N21" t="s">
        <v>4</v>
      </c>
      <c r="O21" t="s">
        <v>4</v>
      </c>
      <c r="P21" t="s">
        <v>64</v>
      </c>
      <c r="Q21" t="s">
        <v>64</v>
      </c>
      <c r="R21" t="s">
        <v>64</v>
      </c>
      <c r="S21" t="s">
        <v>64</v>
      </c>
      <c r="T21" t="s">
        <v>64</v>
      </c>
      <c r="U21" t="s">
        <v>64</v>
      </c>
      <c r="V21" t="s">
        <v>77</v>
      </c>
      <c r="W21" t="s">
        <v>77</v>
      </c>
      <c r="X21" t="s">
        <v>77</v>
      </c>
      <c r="Y21" t="s">
        <v>64</v>
      </c>
      <c r="Z21" t="s">
        <v>64</v>
      </c>
      <c r="AA21" t="s">
        <v>64</v>
      </c>
      <c r="AB21" t="s">
        <v>77</v>
      </c>
      <c r="AC21" t="s">
        <v>77</v>
      </c>
      <c r="AD21" t="s">
        <v>77</v>
      </c>
      <c r="AE21" t="s">
        <v>97</v>
      </c>
      <c r="AF21" t="s">
        <v>98</v>
      </c>
      <c r="AG21" t="s">
        <v>99</v>
      </c>
      <c r="AH21" t="s">
        <v>97</v>
      </c>
    </row>
    <row r="22" ht="40.5" spans="1:34">
      <c r="A22" s="6" t="s">
        <v>100</v>
      </c>
      <c r="B22" s="7" t="s">
        <v>4</v>
      </c>
      <c r="C22" s="7" t="s">
        <v>23</v>
      </c>
      <c r="D22" t="s">
        <v>62</v>
      </c>
      <c r="E22" t="s">
        <v>25</v>
      </c>
      <c r="F22" s="1" t="s">
        <v>101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Y22" t="s">
        <v>64</v>
      </c>
      <c r="Z22" t="s">
        <v>64</v>
      </c>
      <c r="AA22" t="s">
        <v>64</v>
      </c>
      <c r="AB22" t="s">
        <v>64</v>
      </c>
      <c r="AC22" t="s">
        <v>64</v>
      </c>
      <c r="AD22" t="s">
        <v>64</v>
      </c>
      <c r="AE22" t="s">
        <v>64</v>
      </c>
      <c r="AF22" t="s">
        <v>64</v>
      </c>
      <c r="AG22" t="s">
        <v>102</v>
      </c>
      <c r="AH22" t="s">
        <v>64</v>
      </c>
    </row>
    <row r="23" ht="27" spans="1:34">
      <c r="A23" s="6" t="s">
        <v>103</v>
      </c>
      <c r="B23" s="7" t="s">
        <v>4</v>
      </c>
      <c r="C23" s="7" t="s">
        <v>23</v>
      </c>
      <c r="D23" t="s">
        <v>62</v>
      </c>
      <c r="E23" t="s">
        <v>25</v>
      </c>
      <c r="F23" s="1" t="s">
        <v>104</v>
      </c>
      <c r="G23" t="s">
        <v>4</v>
      </c>
      <c r="H23" t="s">
        <v>4</v>
      </c>
      <c r="I23" t="s">
        <v>4</v>
      </c>
      <c r="J23" t="s">
        <v>4</v>
      </c>
      <c r="K23" t="s">
        <v>4</v>
      </c>
      <c r="L23" t="s">
        <v>4</v>
      </c>
      <c r="M23" t="s">
        <v>4</v>
      </c>
      <c r="N23" t="s">
        <v>4</v>
      </c>
      <c r="O23" t="s">
        <v>4</v>
      </c>
      <c r="P23" s="8" t="s">
        <v>105</v>
      </c>
      <c r="Q23" s="8" t="s">
        <v>105</v>
      </c>
      <c r="R23" s="8" t="s">
        <v>105</v>
      </c>
      <c r="S23" t="s">
        <v>64</v>
      </c>
      <c r="T23" t="s">
        <v>64</v>
      </c>
      <c r="U23" t="s">
        <v>64</v>
      </c>
      <c r="V23" t="s">
        <v>64</v>
      </c>
      <c r="W23" t="s">
        <v>64</v>
      </c>
      <c r="X23" t="s">
        <v>64</v>
      </c>
      <c r="Y23" t="s">
        <v>64</v>
      </c>
      <c r="Z23" t="s">
        <v>64</v>
      </c>
      <c r="AA23" t="s">
        <v>64</v>
      </c>
      <c r="AB23" t="s">
        <v>64</v>
      </c>
      <c r="AC23" t="s">
        <v>64</v>
      </c>
      <c r="AD23" t="s">
        <v>64</v>
      </c>
      <c r="AE23" t="s">
        <v>64</v>
      </c>
      <c r="AF23" t="s">
        <v>64</v>
      </c>
      <c r="AG23" t="s">
        <v>64</v>
      </c>
      <c r="AH23" t="s">
        <v>64</v>
      </c>
    </row>
    <row r="24" ht="27" spans="1:34">
      <c r="A24" s="6" t="s">
        <v>106</v>
      </c>
      <c r="B24" s="7" t="s">
        <v>4</v>
      </c>
      <c r="C24" s="7" t="s">
        <v>23</v>
      </c>
      <c r="D24" t="s">
        <v>62</v>
      </c>
      <c r="E24" t="s">
        <v>25</v>
      </c>
      <c r="F24" s="1" t="s">
        <v>107</v>
      </c>
      <c r="G24" t="s">
        <v>4</v>
      </c>
      <c r="H24" t="s">
        <v>4</v>
      </c>
      <c r="I24" t="s">
        <v>4</v>
      </c>
      <c r="J24" t="s">
        <v>4</v>
      </c>
      <c r="K24" t="s">
        <v>4</v>
      </c>
      <c r="L24" t="s">
        <v>4</v>
      </c>
      <c r="M24" t="s">
        <v>4</v>
      </c>
      <c r="N24" t="s">
        <v>4</v>
      </c>
      <c r="O24" t="s">
        <v>4</v>
      </c>
      <c r="P24" t="s">
        <v>4</v>
      </c>
      <c r="Q24" t="s">
        <v>4</v>
      </c>
      <c r="R24" t="s">
        <v>4</v>
      </c>
      <c r="T24" t="s">
        <v>108</v>
      </c>
      <c r="W24" t="s">
        <v>108</v>
      </c>
      <c r="Z24" t="s">
        <v>108</v>
      </c>
      <c r="AC24" t="s">
        <v>108</v>
      </c>
      <c r="AE24" t="s">
        <v>4</v>
      </c>
      <c r="AF24" t="s">
        <v>4</v>
      </c>
      <c r="AG24" t="s">
        <v>4</v>
      </c>
      <c r="AH24" t="s">
        <v>4</v>
      </c>
    </row>
    <row r="25" ht="40.5" spans="1:34">
      <c r="A25" s="6" t="s">
        <v>109</v>
      </c>
      <c r="B25" s="7"/>
      <c r="C25" s="7" t="s">
        <v>23</v>
      </c>
      <c r="D25" t="s">
        <v>62</v>
      </c>
      <c r="E25" t="s">
        <v>25</v>
      </c>
      <c r="F25" s="1" t="s">
        <v>110</v>
      </c>
      <c r="Y25" t="s">
        <v>111</v>
      </c>
      <c r="Z25" t="s">
        <v>111</v>
      </c>
      <c r="AB25" t="s">
        <v>111</v>
      </c>
      <c r="AC25" t="s">
        <v>111</v>
      </c>
      <c r="AE25" t="s">
        <v>111</v>
      </c>
      <c r="AF25" t="s">
        <v>111</v>
      </c>
      <c r="AH25" t="s">
        <v>111</v>
      </c>
    </row>
    <row r="26" ht="54" spans="1:34">
      <c r="A26" s="6" t="s">
        <v>112</v>
      </c>
      <c r="B26" s="7" t="s">
        <v>4</v>
      </c>
      <c r="C26" s="7" t="s">
        <v>23</v>
      </c>
      <c r="D26" t="s">
        <v>62</v>
      </c>
      <c r="E26" t="s">
        <v>25</v>
      </c>
      <c r="F26" s="1" t="s">
        <v>113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64</v>
      </c>
      <c r="V26" t="s">
        <v>4</v>
      </c>
      <c r="W26" t="s">
        <v>4</v>
      </c>
      <c r="X26" t="s">
        <v>64</v>
      </c>
      <c r="Y26" t="s">
        <v>4</v>
      </c>
      <c r="Z26" t="s">
        <v>4</v>
      </c>
      <c r="AA26" t="s">
        <v>64</v>
      </c>
      <c r="AB26" t="s">
        <v>4</v>
      </c>
      <c r="AC26" t="s">
        <v>4</v>
      </c>
      <c r="AD26" t="s">
        <v>64</v>
      </c>
      <c r="AE26" t="s">
        <v>4</v>
      </c>
      <c r="AF26" t="s">
        <v>4</v>
      </c>
      <c r="AG26" t="s">
        <v>4</v>
      </c>
      <c r="AH26" t="s">
        <v>4</v>
      </c>
    </row>
    <row r="27" ht="67.5" spans="1:34">
      <c r="A27" s="6" t="s">
        <v>114</v>
      </c>
      <c r="B27" s="7"/>
      <c r="C27" s="7" t="s">
        <v>23</v>
      </c>
      <c r="D27" t="s">
        <v>62</v>
      </c>
      <c r="E27" t="s">
        <v>25</v>
      </c>
      <c r="F27" s="1" t="s">
        <v>115</v>
      </c>
      <c r="S27" t="s">
        <v>64</v>
      </c>
      <c r="T27" t="s">
        <v>64</v>
      </c>
      <c r="V27" t="s">
        <v>64</v>
      </c>
      <c r="W27" t="s">
        <v>64</v>
      </c>
      <c r="Y27" t="s">
        <v>64</v>
      </c>
      <c r="Z27" t="s">
        <v>64</v>
      </c>
      <c r="AB27" t="s">
        <v>64</v>
      </c>
      <c r="AC27" t="s">
        <v>64</v>
      </c>
      <c r="AE27" t="s">
        <v>64</v>
      </c>
      <c r="AF27" t="s">
        <v>64</v>
      </c>
      <c r="AH27" t="s">
        <v>64</v>
      </c>
    </row>
    <row r="28" spans="1:34">
      <c r="A28" s="6" t="s">
        <v>116</v>
      </c>
      <c r="B28" s="7" t="s">
        <v>4</v>
      </c>
      <c r="C28" s="7" t="s">
        <v>23</v>
      </c>
      <c r="D28" t="s">
        <v>62</v>
      </c>
      <c r="E28" t="s">
        <v>25</v>
      </c>
      <c r="F28" s="1" t="s">
        <v>117</v>
      </c>
      <c r="G28" t="s">
        <v>4</v>
      </c>
      <c r="H28" t="s">
        <v>4</v>
      </c>
      <c r="I28" t="s">
        <v>4</v>
      </c>
      <c r="J28" t="s">
        <v>4</v>
      </c>
      <c r="K28" t="s">
        <v>4</v>
      </c>
      <c r="L28" t="s">
        <v>4</v>
      </c>
      <c r="M28" t="s">
        <v>4</v>
      </c>
      <c r="N28" t="s">
        <v>4</v>
      </c>
      <c r="O28" t="s">
        <v>4</v>
      </c>
      <c r="P28" t="s">
        <v>4</v>
      </c>
      <c r="Q28" t="s">
        <v>4</v>
      </c>
      <c r="R28" t="s">
        <v>4</v>
      </c>
      <c r="S28" t="s">
        <v>4</v>
      </c>
      <c r="T28" t="s">
        <v>4</v>
      </c>
      <c r="U28" t="s">
        <v>64</v>
      </c>
      <c r="V28" t="s">
        <v>4</v>
      </c>
      <c r="W28" t="s">
        <v>4</v>
      </c>
      <c r="X28" t="s">
        <v>64</v>
      </c>
      <c r="Y28" t="s">
        <v>4</v>
      </c>
      <c r="Z28" t="s">
        <v>4</v>
      </c>
      <c r="AA28" t="s">
        <v>64</v>
      </c>
      <c r="AB28" t="s">
        <v>4</v>
      </c>
      <c r="AC28" t="s">
        <v>4</v>
      </c>
      <c r="AD28" t="s">
        <v>64</v>
      </c>
      <c r="AE28" t="s">
        <v>4</v>
      </c>
      <c r="AF28" t="s">
        <v>4</v>
      </c>
      <c r="AG28" t="s">
        <v>4</v>
      </c>
      <c r="AH28" t="s">
        <v>4</v>
      </c>
    </row>
    <row r="29" ht="15" customHeight="1" spans="1:34">
      <c r="A29" s="6" t="s">
        <v>118</v>
      </c>
      <c r="B29" s="7" t="s">
        <v>4</v>
      </c>
      <c r="C29" s="7" t="s">
        <v>23</v>
      </c>
      <c r="D29" t="s">
        <v>62</v>
      </c>
      <c r="E29" t="s">
        <v>25</v>
      </c>
      <c r="G29" t="s">
        <v>4</v>
      </c>
      <c r="H29" t="s">
        <v>4</v>
      </c>
      <c r="I29" t="s">
        <v>4</v>
      </c>
      <c r="J29" t="s">
        <v>4</v>
      </c>
      <c r="K29" t="s">
        <v>4</v>
      </c>
      <c r="L29" t="s">
        <v>4</v>
      </c>
      <c r="M29" t="s">
        <v>4</v>
      </c>
      <c r="N29" t="s">
        <v>4</v>
      </c>
      <c r="O29" t="s">
        <v>4</v>
      </c>
      <c r="P29" t="s">
        <v>119</v>
      </c>
      <c r="Q29" t="s">
        <v>120</v>
      </c>
      <c r="R29" t="s">
        <v>120</v>
      </c>
      <c r="S29" t="s">
        <v>4</v>
      </c>
      <c r="T29" t="s">
        <v>4</v>
      </c>
      <c r="U29" t="s">
        <v>4</v>
      </c>
      <c r="V29" t="s">
        <v>4</v>
      </c>
      <c r="W29" t="s">
        <v>4</v>
      </c>
      <c r="X29" t="s">
        <v>4</v>
      </c>
      <c r="Y29" t="s">
        <v>4</v>
      </c>
      <c r="Z29" t="s">
        <v>4</v>
      </c>
      <c r="AA29" t="s">
        <v>4</v>
      </c>
      <c r="AB29" t="s">
        <v>4</v>
      </c>
      <c r="AC29" t="s">
        <v>4</v>
      </c>
      <c r="AD29" t="s">
        <v>4</v>
      </c>
      <c r="AE29" t="s">
        <v>4</v>
      </c>
      <c r="AF29" t="s">
        <v>4</v>
      </c>
      <c r="AG29" t="s">
        <v>4</v>
      </c>
      <c r="AH29" t="s">
        <v>4</v>
      </c>
    </row>
    <row r="30" customFormat="1" ht="67.5" spans="1:34">
      <c r="A30" s="6" t="s">
        <v>121</v>
      </c>
      <c r="B30" s="7" t="s">
        <v>4</v>
      </c>
      <c r="C30" s="7" t="s">
        <v>23</v>
      </c>
      <c r="D30" t="s">
        <v>24</v>
      </c>
      <c r="E30" t="s">
        <v>25</v>
      </c>
      <c r="F30" s="1" t="s">
        <v>122</v>
      </c>
      <c r="G30" t="s">
        <v>123</v>
      </c>
      <c r="H30" t="s">
        <v>123</v>
      </c>
      <c r="I30" t="s">
        <v>123</v>
      </c>
      <c r="J30" t="s">
        <v>123</v>
      </c>
      <c r="K30" t="s">
        <v>123</v>
      </c>
      <c r="L30" t="s">
        <v>123</v>
      </c>
      <c r="M30" t="s">
        <v>123</v>
      </c>
      <c r="N30" t="s">
        <v>123</v>
      </c>
      <c r="O30" t="s">
        <v>123</v>
      </c>
      <c r="P30" t="s">
        <v>123</v>
      </c>
      <c r="Q30" t="s">
        <v>123</v>
      </c>
      <c r="R30" t="s">
        <v>123</v>
      </c>
      <c r="S30" t="s">
        <v>123</v>
      </c>
      <c r="T30" t="s">
        <v>123</v>
      </c>
      <c r="U30" t="s">
        <v>123</v>
      </c>
      <c r="V30" t="s">
        <v>123</v>
      </c>
      <c r="W30" t="s">
        <v>123</v>
      </c>
      <c r="X30" t="s">
        <v>123</v>
      </c>
      <c r="Y30" t="s">
        <v>123</v>
      </c>
      <c r="Z30" t="s">
        <v>123</v>
      </c>
      <c r="AA30" t="s">
        <v>123</v>
      </c>
      <c r="AB30" t="s">
        <v>123</v>
      </c>
      <c r="AC30" t="s">
        <v>123</v>
      </c>
      <c r="AD30" t="s">
        <v>123</v>
      </c>
      <c r="AE30" t="s">
        <v>123</v>
      </c>
      <c r="AF30" t="s">
        <v>123</v>
      </c>
      <c r="AG30" t="s">
        <v>123</v>
      </c>
      <c r="AH30" t="s">
        <v>123</v>
      </c>
    </row>
    <row r="31" ht="31" customHeight="1" spans="1:34">
      <c r="A31" s="6" t="s">
        <v>124</v>
      </c>
      <c r="B31" s="7"/>
      <c r="C31" s="7" t="s">
        <v>23</v>
      </c>
      <c r="D31" t="s">
        <v>62</v>
      </c>
      <c r="E31" t="s">
        <v>25</v>
      </c>
      <c r="F31" s="1" t="s">
        <v>125</v>
      </c>
      <c r="G31" t="s">
        <v>126</v>
      </c>
      <c r="H31" t="s">
        <v>126</v>
      </c>
      <c r="I31" t="s">
        <v>126</v>
      </c>
      <c r="J31" t="s">
        <v>126</v>
      </c>
      <c r="K31" t="s">
        <v>126</v>
      </c>
      <c r="L31" t="s">
        <v>126</v>
      </c>
      <c r="M31" t="s">
        <v>126</v>
      </c>
      <c r="N31" t="s">
        <v>126</v>
      </c>
      <c r="O31" t="s">
        <v>126</v>
      </c>
      <c r="P31" t="s">
        <v>126</v>
      </c>
      <c r="Q31" t="s">
        <v>126</v>
      </c>
      <c r="R31" t="s">
        <v>126</v>
      </c>
      <c r="S31" t="s">
        <v>126</v>
      </c>
      <c r="T31" t="s">
        <v>126</v>
      </c>
      <c r="U31" t="s">
        <v>126</v>
      </c>
      <c r="V31" t="s">
        <v>126</v>
      </c>
      <c r="W31" t="s">
        <v>126</v>
      </c>
      <c r="X31" t="s">
        <v>126</v>
      </c>
      <c r="Y31" t="s">
        <v>126</v>
      </c>
      <c r="Z31" t="s">
        <v>126</v>
      </c>
      <c r="AA31" t="s">
        <v>126</v>
      </c>
      <c r="AB31" t="s">
        <v>126</v>
      </c>
      <c r="AC31" t="s">
        <v>126</v>
      </c>
      <c r="AD31" t="s">
        <v>126</v>
      </c>
      <c r="AE31" t="s">
        <v>126</v>
      </c>
      <c r="AF31" t="s">
        <v>126</v>
      </c>
      <c r="AG31" t="s">
        <v>126</v>
      </c>
      <c r="AH31" t="s">
        <v>126</v>
      </c>
    </row>
    <row r="32" ht="31" customHeight="1" spans="1:34">
      <c r="A32" s="6" t="s">
        <v>127</v>
      </c>
      <c r="B32" s="7"/>
      <c r="C32" s="7" t="s">
        <v>23</v>
      </c>
      <c r="D32" t="s">
        <v>24</v>
      </c>
      <c r="E32" t="s">
        <v>25</v>
      </c>
      <c r="F32" s="1" t="s">
        <v>128</v>
      </c>
    </row>
    <row r="33" ht="27" spans="1:34">
      <c r="A33" s="6" t="s">
        <v>129</v>
      </c>
      <c r="C33" s="7" t="s">
        <v>23</v>
      </c>
      <c r="D33" t="s">
        <v>62</v>
      </c>
      <c r="E33" t="s">
        <v>25</v>
      </c>
      <c r="F33" s="1" t="s">
        <v>130</v>
      </c>
      <c r="AE33" t="s">
        <v>131</v>
      </c>
      <c r="AF33" t="s">
        <v>131</v>
      </c>
      <c r="AH33" t="s">
        <v>131</v>
      </c>
    </row>
    <row r="34" ht="31" customHeight="1" spans="1:34">
      <c r="A34" s="4" t="s">
        <v>132</v>
      </c>
      <c r="B34" s="5" t="s">
        <v>19</v>
      </c>
      <c r="C34" s="5" t="s">
        <v>20</v>
      </c>
      <c r="D34" s="5" t="s">
        <v>21</v>
      </c>
      <c r="E34" s="5" t="s">
        <v>22</v>
      </c>
      <c r="F34" s="5" t="s">
        <v>13</v>
      </c>
    </row>
    <row r="35" ht="27" customHeight="1" spans="1:34">
      <c r="A35" s="6" t="s">
        <v>133</v>
      </c>
      <c r="B35" s="7" t="s">
        <v>4</v>
      </c>
      <c r="C35" s="7" t="s">
        <v>23</v>
      </c>
      <c r="D35" t="s">
        <v>24</v>
      </c>
      <c r="E35" t="s">
        <v>25</v>
      </c>
      <c r="G35" t="s">
        <v>4</v>
      </c>
      <c r="H35" t="s">
        <v>4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  <c r="N35" t="s">
        <v>4</v>
      </c>
      <c r="O35" t="s">
        <v>4</v>
      </c>
      <c r="P35" t="s">
        <v>4</v>
      </c>
      <c r="Q35" t="s">
        <v>4</v>
      </c>
      <c r="R35" t="s">
        <v>4</v>
      </c>
      <c r="S35" t="s">
        <v>4</v>
      </c>
      <c r="T35" t="s">
        <v>4</v>
      </c>
      <c r="U35" t="s">
        <v>4</v>
      </c>
      <c r="V35" t="s">
        <v>4</v>
      </c>
      <c r="W35" t="s">
        <v>4</v>
      </c>
      <c r="X35" t="s">
        <v>4</v>
      </c>
      <c r="Y35" t="s">
        <v>4</v>
      </c>
      <c r="Z35" t="s">
        <v>4</v>
      </c>
      <c r="AA35" t="s">
        <v>4</v>
      </c>
      <c r="AB35" t="s">
        <v>4</v>
      </c>
      <c r="AC35" t="s">
        <v>4</v>
      </c>
      <c r="AD35" t="s">
        <v>4</v>
      </c>
      <c r="AE35" t="s">
        <v>4</v>
      </c>
      <c r="AF35" t="s">
        <v>4</v>
      </c>
      <c r="AG35" t="s">
        <v>4</v>
      </c>
      <c r="AH35" t="s">
        <v>4</v>
      </c>
    </row>
    <row r="36" ht="24" customHeight="1" spans="1:34">
      <c r="A36" s="6" t="s">
        <v>134</v>
      </c>
      <c r="B36" s="7" t="s">
        <v>4</v>
      </c>
      <c r="C36" s="7" t="s">
        <v>23</v>
      </c>
      <c r="D36" t="s">
        <v>135</v>
      </c>
      <c r="E36" t="s">
        <v>59</v>
      </c>
      <c r="G36" t="s">
        <v>136</v>
      </c>
      <c r="H36" t="s">
        <v>136</v>
      </c>
      <c r="I36" t="s">
        <v>136</v>
      </c>
      <c r="J36" t="s">
        <v>136</v>
      </c>
      <c r="K36" t="s">
        <v>136</v>
      </c>
      <c r="L36" t="s">
        <v>136</v>
      </c>
      <c r="M36" t="s">
        <v>136</v>
      </c>
      <c r="N36" t="s">
        <v>136</v>
      </c>
      <c r="O36" t="s">
        <v>136</v>
      </c>
      <c r="P36" t="s">
        <v>136</v>
      </c>
      <c r="Q36" t="s">
        <v>136</v>
      </c>
      <c r="R36" t="s">
        <v>136</v>
      </c>
      <c r="S36" t="s">
        <v>136</v>
      </c>
      <c r="T36" t="s">
        <v>136</v>
      </c>
      <c r="U36" t="s">
        <v>136</v>
      </c>
      <c r="V36" t="s">
        <v>136</v>
      </c>
      <c r="W36" t="s">
        <v>136</v>
      </c>
      <c r="X36" t="s">
        <v>136</v>
      </c>
      <c r="Y36" t="s">
        <v>136</v>
      </c>
      <c r="Z36" t="s">
        <v>136</v>
      </c>
      <c r="AA36" t="s">
        <v>136</v>
      </c>
      <c r="AB36" t="s">
        <v>136</v>
      </c>
      <c r="AC36" t="s">
        <v>136</v>
      </c>
      <c r="AD36" t="s">
        <v>136</v>
      </c>
      <c r="AE36" t="s">
        <v>136</v>
      </c>
      <c r="AF36" t="s">
        <v>136</v>
      </c>
      <c r="AG36" t="s">
        <v>136</v>
      </c>
      <c r="AH36" t="s">
        <v>136</v>
      </c>
    </row>
    <row r="37" ht="23" customHeight="1" spans="1:34">
      <c r="A37" s="6" t="s">
        <v>137</v>
      </c>
      <c r="B37" s="7"/>
      <c r="C37" s="7" t="s">
        <v>23</v>
      </c>
      <c r="D37" t="s">
        <v>24</v>
      </c>
      <c r="E37" t="s">
        <v>25</v>
      </c>
    </row>
    <row r="38" ht="23" customHeight="1" spans="1:34">
      <c r="A38" s="6" t="s">
        <v>138</v>
      </c>
      <c r="B38" s="7"/>
      <c r="C38" s="7" t="s">
        <v>23</v>
      </c>
      <c r="D38" t="s">
        <v>62</v>
      </c>
      <c r="E38" t="s">
        <v>25</v>
      </c>
      <c r="F38" s="6"/>
      <c r="G38" t="s">
        <v>139</v>
      </c>
      <c r="H38" t="s">
        <v>139</v>
      </c>
      <c r="I38" t="s">
        <v>139</v>
      </c>
      <c r="J38" t="s">
        <v>139</v>
      </c>
      <c r="K38" t="s">
        <v>139</v>
      </c>
      <c r="L38" t="s">
        <v>139</v>
      </c>
      <c r="M38" t="s">
        <v>139</v>
      </c>
      <c r="N38" t="s">
        <v>139</v>
      </c>
      <c r="O38" t="s">
        <v>139</v>
      </c>
      <c r="P38" t="s">
        <v>140</v>
      </c>
      <c r="Q38" t="s">
        <v>140</v>
      </c>
      <c r="R38" t="s">
        <v>140</v>
      </c>
      <c r="S38" t="s">
        <v>141</v>
      </c>
      <c r="T38" t="s">
        <v>141</v>
      </c>
      <c r="U38" t="s">
        <v>141</v>
      </c>
      <c r="V38" t="s">
        <v>141</v>
      </c>
      <c r="W38" t="s">
        <v>141</v>
      </c>
      <c r="X38" t="s">
        <v>141</v>
      </c>
      <c r="Y38" t="s">
        <v>141</v>
      </c>
      <c r="Z38" t="s">
        <v>141</v>
      </c>
      <c r="AA38" t="s">
        <v>141</v>
      </c>
      <c r="AB38" t="s">
        <v>141</v>
      </c>
      <c r="AC38" t="s">
        <v>141</v>
      </c>
      <c r="AD38" t="s">
        <v>141</v>
      </c>
      <c r="AE38" t="s">
        <v>141</v>
      </c>
      <c r="AF38" t="s">
        <v>141</v>
      </c>
      <c r="AG38" s="9" t="s">
        <v>142</v>
      </c>
      <c r="AH38" t="s">
        <v>141</v>
      </c>
    </row>
    <row r="39" ht="23" customHeight="1" spans="1:34">
      <c r="A39" s="4" t="s">
        <v>143</v>
      </c>
      <c r="B39" s="5" t="s">
        <v>19</v>
      </c>
      <c r="C39" s="5" t="s">
        <v>20</v>
      </c>
      <c r="D39" s="5" t="s">
        <v>21</v>
      </c>
      <c r="E39" s="5" t="s">
        <v>22</v>
      </c>
      <c r="F39" s="5" t="s">
        <v>13</v>
      </c>
      <c r="AG39" s="9"/>
    </row>
    <row r="40" ht="22" customHeight="1" spans="1:34">
      <c r="A40" s="6" t="s">
        <v>144</v>
      </c>
      <c r="B40" s="7" t="s">
        <v>4</v>
      </c>
      <c r="C40" s="7" t="s">
        <v>23</v>
      </c>
      <c r="D40" t="s">
        <v>62</v>
      </c>
      <c r="E40" t="s">
        <v>59</v>
      </c>
      <c r="G40" t="s">
        <v>145</v>
      </c>
      <c r="H40" t="s">
        <v>145</v>
      </c>
      <c r="I40" t="s">
        <v>145</v>
      </c>
      <c r="J40" t="s">
        <v>145</v>
      </c>
      <c r="K40" t="s">
        <v>145</v>
      </c>
      <c r="L40" t="s">
        <v>145</v>
      </c>
      <c r="M40" t="s">
        <v>145</v>
      </c>
      <c r="N40" t="s">
        <v>145</v>
      </c>
      <c r="O40" t="s">
        <v>145</v>
      </c>
      <c r="P40" t="s">
        <v>4</v>
      </c>
      <c r="Q40" t="s">
        <v>4</v>
      </c>
      <c r="R40" t="s">
        <v>4</v>
      </c>
      <c r="S40" t="s">
        <v>4</v>
      </c>
      <c r="T40" t="s">
        <v>4</v>
      </c>
      <c r="U40" t="s">
        <v>4</v>
      </c>
      <c r="V40" t="s">
        <v>4</v>
      </c>
      <c r="W40" t="s">
        <v>4</v>
      </c>
      <c r="X40" t="s">
        <v>4</v>
      </c>
      <c r="Y40" t="s">
        <v>145</v>
      </c>
      <c r="Z40" t="s">
        <v>145</v>
      </c>
      <c r="AB40" t="s">
        <v>145</v>
      </c>
      <c r="AC40" t="s">
        <v>145</v>
      </c>
      <c r="AE40" t="s">
        <v>145</v>
      </c>
      <c r="AF40" t="s">
        <v>145</v>
      </c>
      <c r="AG40" t="s">
        <v>4</v>
      </c>
      <c r="AH40" t="s">
        <v>145</v>
      </c>
    </row>
    <row r="41" spans="1:34">
      <c r="A41" s="6" t="s">
        <v>146</v>
      </c>
      <c r="B41" s="10"/>
      <c r="C41" s="7" t="s">
        <v>23</v>
      </c>
      <c r="D41" t="s">
        <v>135</v>
      </c>
      <c r="E41" t="s">
        <v>59</v>
      </c>
      <c r="G41" t="s">
        <v>136</v>
      </c>
      <c r="H41" t="s">
        <v>136</v>
      </c>
      <c r="I41" t="s">
        <v>136</v>
      </c>
      <c r="J41" t="s">
        <v>136</v>
      </c>
      <c r="K41" t="s">
        <v>136</v>
      </c>
      <c r="L41" t="s">
        <v>136</v>
      </c>
      <c r="M41" t="s">
        <v>136</v>
      </c>
      <c r="N41" t="s">
        <v>136</v>
      </c>
      <c r="O41" t="s">
        <v>136</v>
      </c>
      <c r="Y41" t="s">
        <v>136</v>
      </c>
      <c r="Z41" t="s">
        <v>136</v>
      </c>
      <c r="AB41" t="s">
        <v>136</v>
      </c>
      <c r="AC41" t="s">
        <v>136</v>
      </c>
      <c r="AE41" t="s">
        <v>136</v>
      </c>
      <c r="AF41" t="s">
        <v>136</v>
      </c>
      <c r="AH41" t="s">
        <v>136</v>
      </c>
    </row>
    <row r="42" spans="1:34">
      <c r="A42" s="6" t="s">
        <v>147</v>
      </c>
      <c r="B42" s="10" t="str">
        <f>_xlfn.DISPIMG("ID_C2F230443A18475AB3F0BC6E14580AE9",1)</f>
        <v>=DISPIMG("ID_C2F230443A18475AB3F0BC6E14580AE9",1)</v>
      </c>
      <c r="C42" s="7" t="s">
        <v>23</v>
      </c>
      <c r="G42" t="s">
        <v>4</v>
      </c>
      <c r="H42" t="s">
        <v>4</v>
      </c>
      <c r="I42" t="s">
        <v>4</v>
      </c>
      <c r="J42" t="s">
        <v>4</v>
      </c>
      <c r="K42" t="s">
        <v>4</v>
      </c>
      <c r="L42" t="s">
        <v>4</v>
      </c>
      <c r="M42" t="s">
        <v>4</v>
      </c>
      <c r="N42" t="s">
        <v>4</v>
      </c>
      <c r="O42" t="s">
        <v>4</v>
      </c>
      <c r="P42" t="s">
        <v>4</v>
      </c>
      <c r="Q42" t="s">
        <v>4</v>
      </c>
      <c r="R42" t="s">
        <v>4</v>
      </c>
      <c r="S42" t="s">
        <v>4</v>
      </c>
      <c r="T42" t="s">
        <v>4</v>
      </c>
      <c r="U42" t="s">
        <v>4</v>
      </c>
      <c r="V42" t="s">
        <v>4</v>
      </c>
      <c r="W42" t="s">
        <v>4</v>
      </c>
      <c r="X42" t="s">
        <v>4</v>
      </c>
      <c r="Y42" t="s">
        <v>4</v>
      </c>
      <c r="Z42" t="s">
        <v>4</v>
      </c>
      <c r="AA42" t="s">
        <v>4</v>
      </c>
      <c r="AB42" t="s">
        <v>4</v>
      </c>
      <c r="AC42" t="s">
        <v>4</v>
      </c>
      <c r="AD42" t="s">
        <v>4</v>
      </c>
      <c r="AE42" t="s">
        <v>4</v>
      </c>
      <c r="AF42" t="s">
        <v>4</v>
      </c>
      <c r="AG42" t="s">
        <v>4</v>
      </c>
      <c r="AH42" t="s">
        <v>4</v>
      </c>
    </row>
    <row r="43" ht="27" spans="1:34">
      <c r="A43" s="6" t="s">
        <v>148</v>
      </c>
      <c r="B43" s="11"/>
      <c r="C43" s="7" t="s">
        <v>23</v>
      </c>
      <c r="D43" t="s">
        <v>24</v>
      </c>
      <c r="E43" t="s">
        <v>25</v>
      </c>
      <c r="G43" t="s">
        <v>4</v>
      </c>
      <c r="H43" t="s">
        <v>4</v>
      </c>
      <c r="I43" t="s">
        <v>4</v>
      </c>
      <c r="J43" t="s">
        <v>4</v>
      </c>
      <c r="K43" t="s">
        <v>4</v>
      </c>
      <c r="L43" t="s">
        <v>4</v>
      </c>
      <c r="M43" t="s">
        <v>4</v>
      </c>
      <c r="N43" t="s">
        <v>4</v>
      </c>
      <c r="O43" t="s">
        <v>4</v>
      </c>
      <c r="P43" t="s">
        <v>4</v>
      </c>
      <c r="Q43" t="s">
        <v>4</v>
      </c>
      <c r="R43" t="s">
        <v>4</v>
      </c>
      <c r="S43" t="s">
        <v>4</v>
      </c>
      <c r="T43" t="s">
        <v>4</v>
      </c>
      <c r="U43" t="s">
        <v>4</v>
      </c>
      <c r="V43" t="s">
        <v>4</v>
      </c>
      <c r="W43" t="s">
        <v>4</v>
      </c>
      <c r="X43" t="s">
        <v>4</v>
      </c>
      <c r="Y43" t="s">
        <v>4</v>
      </c>
      <c r="Z43" t="s">
        <v>4</v>
      </c>
      <c r="AA43" t="s">
        <v>4</v>
      </c>
      <c r="AB43" t="s">
        <v>4</v>
      </c>
      <c r="AC43" t="s">
        <v>4</v>
      </c>
      <c r="AD43" t="s">
        <v>4</v>
      </c>
      <c r="AE43" t="s">
        <v>4</v>
      </c>
      <c r="AF43" t="s">
        <v>4</v>
      </c>
      <c r="AG43" t="s">
        <v>4</v>
      </c>
      <c r="AH43" t="s">
        <v>4</v>
      </c>
    </row>
    <row r="44" spans="1:34">
      <c r="A44" s="6" t="s">
        <v>149</v>
      </c>
      <c r="B44" s="11"/>
      <c r="C44" s="7" t="s">
        <v>23</v>
      </c>
      <c r="D44" t="s">
        <v>24</v>
      </c>
      <c r="E44" t="s">
        <v>25</v>
      </c>
    </row>
    <row r="45" ht="27" spans="1:34">
      <c r="A45" s="6" t="s">
        <v>150</v>
      </c>
      <c r="B45" s="11"/>
      <c r="C45" s="7" t="s">
        <v>23</v>
      </c>
      <c r="D45" t="s">
        <v>24</v>
      </c>
      <c r="E45" t="s">
        <v>25</v>
      </c>
    </row>
    <row r="46" ht="27" spans="1:34">
      <c r="A46" s="6" t="s">
        <v>151</v>
      </c>
      <c r="B46" s="12"/>
      <c r="C46" s="7" t="s">
        <v>23</v>
      </c>
      <c r="D46" t="s">
        <v>24</v>
      </c>
      <c r="E46" t="s">
        <v>25</v>
      </c>
    </row>
    <row r="47" ht="51" customHeight="1" spans="1:34">
      <c r="A47" s="6" t="s">
        <v>152</v>
      </c>
      <c r="B47" s="10" t="str">
        <f>_xlfn.DISPIMG("ID_24AC769FE6B3490B9FC8DE83FECC29C9",1)</f>
        <v>=DISPIMG("ID_24AC769FE6B3490B9FC8DE83FECC29C9",1)</v>
      </c>
      <c r="C47" s="7" t="s">
        <v>23</v>
      </c>
      <c r="D47" t="s">
        <v>24</v>
      </c>
      <c r="E47" t="s">
        <v>59</v>
      </c>
      <c r="F47" s="1" t="s">
        <v>153</v>
      </c>
      <c r="G47" t="s">
        <v>4</v>
      </c>
      <c r="H47" t="s">
        <v>4</v>
      </c>
      <c r="I47" t="s">
        <v>4</v>
      </c>
      <c r="J47" t="s">
        <v>4</v>
      </c>
      <c r="K47" t="s">
        <v>4</v>
      </c>
      <c r="L47" t="s">
        <v>4</v>
      </c>
      <c r="M47" t="s">
        <v>4</v>
      </c>
      <c r="N47" t="s">
        <v>4</v>
      </c>
      <c r="O47" t="s">
        <v>4</v>
      </c>
      <c r="P47" t="s">
        <v>4</v>
      </c>
      <c r="Q47" t="s">
        <v>4</v>
      </c>
      <c r="R47" t="s">
        <v>4</v>
      </c>
      <c r="S47" t="s">
        <v>4</v>
      </c>
      <c r="T47" t="s">
        <v>4</v>
      </c>
      <c r="U47" t="s">
        <v>4</v>
      </c>
      <c r="V47" t="s">
        <v>4</v>
      </c>
      <c r="W47" t="s">
        <v>4</v>
      </c>
      <c r="X47" t="s">
        <v>4</v>
      </c>
      <c r="Y47" t="s">
        <v>4</v>
      </c>
      <c r="Z47" t="s">
        <v>4</v>
      </c>
      <c r="AA47" t="s">
        <v>4</v>
      </c>
      <c r="AB47" t="s">
        <v>4</v>
      </c>
      <c r="AC47" t="s">
        <v>4</v>
      </c>
      <c r="AD47" t="s">
        <v>4</v>
      </c>
      <c r="AE47" t="s">
        <v>4</v>
      </c>
      <c r="AF47" t="s">
        <v>4</v>
      </c>
      <c r="AG47" t="s">
        <v>4</v>
      </c>
      <c r="AH47" t="s">
        <v>4</v>
      </c>
    </row>
    <row r="48" ht="73" customHeight="1" spans="1:34">
      <c r="A48" s="6" t="s">
        <v>154</v>
      </c>
      <c r="B48" s="12"/>
      <c r="C48" s="7" t="s">
        <v>23</v>
      </c>
      <c r="D48" t="s">
        <v>24</v>
      </c>
      <c r="E48" t="s">
        <v>59</v>
      </c>
      <c r="F48" s="1" t="s">
        <v>155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 t="s">
        <v>4</v>
      </c>
      <c r="T48" t="s">
        <v>4</v>
      </c>
      <c r="U48" t="s">
        <v>4</v>
      </c>
      <c r="V48" t="s">
        <v>4</v>
      </c>
      <c r="W48" t="s">
        <v>4</v>
      </c>
      <c r="X48" t="s">
        <v>4</v>
      </c>
      <c r="Y48" t="s">
        <v>4</v>
      </c>
      <c r="Z48" t="s">
        <v>4</v>
      </c>
      <c r="AA48" t="s">
        <v>4</v>
      </c>
      <c r="AB48" t="s">
        <v>4</v>
      </c>
      <c r="AC48" t="s">
        <v>4</v>
      </c>
      <c r="AD48" t="s">
        <v>4</v>
      </c>
      <c r="AE48" t="s">
        <v>4</v>
      </c>
      <c r="AF48" t="s">
        <v>4</v>
      </c>
      <c r="AG48" t="s">
        <v>4</v>
      </c>
      <c r="AH48" t="s">
        <v>4</v>
      </c>
    </row>
    <row r="49" ht="149" customHeight="1" spans="1:34">
      <c r="A49" s="6" t="s">
        <v>156</v>
      </c>
      <c r="B49" s="10" t="str">
        <f>_xlfn.DISPIMG("ID_8AC8D239D6D744E489CA5FA086DB109B",1)</f>
        <v>=DISPIMG("ID_8AC8D239D6D744E489CA5FA086DB109B",1)</v>
      </c>
      <c r="C49" s="7" t="s">
        <v>23</v>
      </c>
      <c r="D49" t="s">
        <v>24</v>
      </c>
      <c r="E49" t="s">
        <v>59</v>
      </c>
      <c r="F49" s="1" t="s">
        <v>157</v>
      </c>
    </row>
    <row r="50" ht="116" customHeight="1" spans="1:34">
      <c r="A50" s="6" t="s">
        <v>158</v>
      </c>
      <c r="B50" s="12"/>
      <c r="C50" s="7" t="s">
        <v>23</v>
      </c>
      <c r="D50" t="s">
        <v>24</v>
      </c>
      <c r="E50" t="s">
        <v>59</v>
      </c>
      <c r="F50" s="1" t="s">
        <v>159</v>
      </c>
    </row>
    <row r="51" ht="28" customHeight="1" spans="1:34">
      <c r="A51" s="4" t="s">
        <v>160</v>
      </c>
      <c r="B51" s="5" t="s">
        <v>19</v>
      </c>
      <c r="C51" s="5" t="s">
        <v>20</v>
      </c>
      <c r="D51" s="5" t="s">
        <v>21</v>
      </c>
      <c r="E51" s="5" t="s">
        <v>22</v>
      </c>
      <c r="F51" s="5" t="s">
        <v>13</v>
      </c>
    </row>
    <row r="52" ht="28" customHeight="1" spans="1:34">
      <c r="A52" s="6" t="s">
        <v>161</v>
      </c>
      <c r="B52" s="7"/>
      <c r="C52" s="7" t="s">
        <v>23</v>
      </c>
      <c r="D52" t="s">
        <v>62</v>
      </c>
      <c r="E52" t="s">
        <v>59</v>
      </c>
      <c r="G52" t="s">
        <v>162</v>
      </c>
      <c r="H52" t="s">
        <v>162</v>
      </c>
      <c r="I52" t="s">
        <v>162</v>
      </c>
      <c r="J52" t="s">
        <v>162</v>
      </c>
      <c r="K52" t="s">
        <v>162</v>
      </c>
      <c r="L52" t="s">
        <v>162</v>
      </c>
      <c r="M52" t="s">
        <v>162</v>
      </c>
      <c r="N52" t="s">
        <v>162</v>
      </c>
      <c r="O52" t="s">
        <v>162</v>
      </c>
      <c r="P52" t="s">
        <v>162</v>
      </c>
      <c r="Q52" t="s">
        <v>162</v>
      </c>
      <c r="R52" t="s">
        <v>162</v>
      </c>
      <c r="S52" t="s">
        <v>162</v>
      </c>
      <c r="T52" t="s">
        <v>162</v>
      </c>
      <c r="V52" t="s">
        <v>162</v>
      </c>
      <c r="W52" t="s">
        <v>162</v>
      </c>
      <c r="Y52" t="s">
        <v>162</v>
      </c>
      <c r="Z52" t="s">
        <v>162</v>
      </c>
      <c r="AB52" t="s">
        <v>162</v>
      </c>
      <c r="AC52" t="s">
        <v>162</v>
      </c>
      <c r="AE52" t="s">
        <v>162</v>
      </c>
      <c r="AF52" t="s">
        <v>162</v>
      </c>
      <c r="AG52" t="s">
        <v>162</v>
      </c>
      <c r="AH52" t="s">
        <v>162</v>
      </c>
    </row>
    <row r="53" customFormat="1" spans="1:34">
      <c r="A53" s="6" t="s">
        <v>146</v>
      </c>
      <c r="B53" s="10"/>
      <c r="C53" s="7" t="s">
        <v>23</v>
      </c>
      <c r="D53" t="s">
        <v>135</v>
      </c>
      <c r="E53" t="s">
        <v>59</v>
      </c>
      <c r="F53" s="1"/>
      <c r="G53" t="s">
        <v>136</v>
      </c>
      <c r="H53" t="s">
        <v>136</v>
      </c>
      <c r="I53" t="s">
        <v>136</v>
      </c>
      <c r="J53" t="s">
        <v>136</v>
      </c>
      <c r="K53" t="s">
        <v>136</v>
      </c>
      <c r="L53" t="s">
        <v>136</v>
      </c>
      <c r="M53" t="s">
        <v>136</v>
      </c>
      <c r="N53" t="s">
        <v>136</v>
      </c>
      <c r="O53" t="s">
        <v>136</v>
      </c>
      <c r="P53" t="s">
        <v>136</v>
      </c>
      <c r="Q53" t="s">
        <v>136</v>
      </c>
      <c r="R53" t="s">
        <v>136</v>
      </c>
      <c r="S53" t="s">
        <v>136</v>
      </c>
      <c r="T53" t="s">
        <v>136</v>
      </c>
      <c r="V53" t="s">
        <v>136</v>
      </c>
      <c r="W53" t="s">
        <v>136</v>
      </c>
      <c r="X53"/>
      <c r="Y53" t="s">
        <v>136</v>
      </c>
      <c r="Z53" t="s">
        <v>136</v>
      </c>
      <c r="AA53"/>
      <c r="AB53" t="s">
        <v>136</v>
      </c>
      <c r="AC53" t="s">
        <v>136</v>
      </c>
      <c r="AD53"/>
      <c r="AE53" t="s">
        <v>136</v>
      </c>
      <c r="AF53" t="s">
        <v>136</v>
      </c>
      <c r="AG53" t="s">
        <v>136</v>
      </c>
      <c r="AH53" t="s">
        <v>136</v>
      </c>
    </row>
    <row r="54" ht="28" customHeight="1" spans="1:34">
      <c r="A54" s="6" t="s">
        <v>163</v>
      </c>
      <c r="B54" s="10" t="str">
        <f>_xlfn.DISPIMG("ID_4BA5DE40EF5F4EC2A84356925BE7A6DA",1)</f>
        <v>=DISPIMG("ID_4BA5DE40EF5F4EC2A84356925BE7A6DA",1)</v>
      </c>
      <c r="C54" s="7" t="s">
        <v>23</v>
      </c>
      <c r="D54" t="s">
        <v>24</v>
      </c>
      <c r="E54" t="s">
        <v>25</v>
      </c>
    </row>
    <row r="55" ht="28" customHeight="1" spans="1:34">
      <c r="A55" s="6" t="s">
        <v>164</v>
      </c>
      <c r="B55" s="11"/>
      <c r="C55" s="7" t="s">
        <v>23</v>
      </c>
      <c r="D55" t="s">
        <v>24</v>
      </c>
      <c r="E55" t="s">
        <v>25</v>
      </c>
    </row>
    <row r="56" ht="28" customHeight="1" spans="1:34">
      <c r="A56" s="6" t="s">
        <v>165</v>
      </c>
      <c r="B56" s="11"/>
      <c r="C56" s="7" t="s">
        <v>23</v>
      </c>
      <c r="D56" t="s">
        <v>24</v>
      </c>
      <c r="E56" t="s">
        <v>25</v>
      </c>
    </row>
    <row r="57" ht="28" customHeight="1" spans="1:34">
      <c r="A57" t="s">
        <v>166</v>
      </c>
      <c r="B57" s="11"/>
      <c r="C57" s="7" t="s">
        <v>23</v>
      </c>
      <c r="D57" t="s">
        <v>24</v>
      </c>
      <c r="E57" t="s">
        <v>25</v>
      </c>
    </row>
    <row r="58" ht="28" customHeight="1" spans="1:34">
      <c r="A58" t="s">
        <v>167</v>
      </c>
      <c r="B58" s="11"/>
      <c r="C58" s="7" t="s">
        <v>23</v>
      </c>
      <c r="D58" t="s">
        <v>24</v>
      </c>
      <c r="E58" t="s">
        <v>25</v>
      </c>
    </row>
    <row r="59" ht="28" customHeight="1" spans="1:34">
      <c r="A59" t="s">
        <v>168</v>
      </c>
      <c r="B59" s="11"/>
      <c r="C59" s="7" t="s">
        <v>23</v>
      </c>
      <c r="D59" t="s">
        <v>24</v>
      </c>
      <c r="E59" t="s">
        <v>25</v>
      </c>
    </row>
    <row r="60" ht="28" customHeight="1" spans="1:34">
      <c r="A60" t="s">
        <v>169</v>
      </c>
      <c r="B60" s="12"/>
      <c r="C60" s="7" t="s">
        <v>23</v>
      </c>
      <c r="D60" t="s">
        <v>24</v>
      </c>
      <c r="E60" t="s">
        <v>25</v>
      </c>
    </row>
    <row r="61" ht="28" customHeight="1" spans="1:34">
      <c r="A61" s="4" t="s">
        <v>57</v>
      </c>
      <c r="B61" s="5" t="s">
        <v>19</v>
      </c>
      <c r="C61" s="5" t="s">
        <v>20</v>
      </c>
      <c r="D61" s="5" t="s">
        <v>21</v>
      </c>
      <c r="E61" s="5" t="s">
        <v>22</v>
      </c>
      <c r="F61" s="5" t="s">
        <v>13</v>
      </c>
    </row>
    <row r="62" spans="1:34">
      <c r="A62" s="6" t="s">
        <v>170</v>
      </c>
      <c r="B62" s="7" t="s">
        <v>4</v>
      </c>
      <c r="C62" s="7" t="s">
        <v>57</v>
      </c>
      <c r="D62" t="s">
        <v>58</v>
      </c>
      <c r="G62" t="s">
        <v>171</v>
      </c>
      <c r="H62" t="s">
        <v>171</v>
      </c>
      <c r="I62" t="s">
        <v>171</v>
      </c>
      <c r="J62" t="s">
        <v>171</v>
      </c>
      <c r="K62" t="s">
        <v>171</v>
      </c>
      <c r="L62" t="s">
        <v>171</v>
      </c>
      <c r="M62" t="s">
        <v>171</v>
      </c>
      <c r="N62" t="s">
        <v>171</v>
      </c>
      <c r="O62" t="s">
        <v>171</v>
      </c>
      <c r="P62" t="s">
        <v>171</v>
      </c>
      <c r="Q62" t="s">
        <v>171</v>
      </c>
      <c r="R62" t="s">
        <v>171</v>
      </c>
      <c r="S62" t="s">
        <v>171</v>
      </c>
      <c r="T62" t="s">
        <v>171</v>
      </c>
      <c r="U62" t="s">
        <v>171</v>
      </c>
      <c r="V62" t="s">
        <v>171</v>
      </c>
      <c r="W62" t="s">
        <v>171</v>
      </c>
      <c r="X62" t="s">
        <v>171</v>
      </c>
      <c r="Y62" t="s">
        <v>171</v>
      </c>
      <c r="Z62" t="s">
        <v>171</v>
      </c>
      <c r="AA62" t="s">
        <v>171</v>
      </c>
      <c r="AB62" t="s">
        <v>171</v>
      </c>
      <c r="AC62" t="s">
        <v>171</v>
      </c>
      <c r="AD62" t="s">
        <v>171</v>
      </c>
      <c r="AE62" t="s">
        <v>171</v>
      </c>
      <c r="AF62" t="s">
        <v>171</v>
      </c>
      <c r="AG62" t="s">
        <v>171</v>
      </c>
      <c r="AH62" t="s">
        <v>171</v>
      </c>
    </row>
    <row r="63" spans="1:34">
      <c r="A63" s="6" t="s">
        <v>172</v>
      </c>
      <c r="B63" s="7" t="s">
        <v>4</v>
      </c>
      <c r="C63" s="7" t="s">
        <v>57</v>
      </c>
      <c r="D63" t="s">
        <v>58</v>
      </c>
      <c r="G63" t="s">
        <v>173</v>
      </c>
      <c r="H63" t="s">
        <v>173</v>
      </c>
      <c r="I63" t="s">
        <v>173</v>
      </c>
      <c r="J63" t="s">
        <v>173</v>
      </c>
      <c r="K63" t="s">
        <v>173</v>
      </c>
      <c r="L63" t="s">
        <v>173</v>
      </c>
      <c r="M63" t="s">
        <v>174</v>
      </c>
      <c r="N63" t="s">
        <v>174</v>
      </c>
      <c r="O63" t="s">
        <v>173</v>
      </c>
      <c r="P63" t="s">
        <v>175</v>
      </c>
      <c r="Q63" t="s">
        <v>176</v>
      </c>
      <c r="R63" t="s">
        <v>177</v>
      </c>
      <c r="S63" t="s">
        <v>178</v>
      </c>
      <c r="T63" t="s">
        <v>178</v>
      </c>
      <c r="U63" t="s">
        <v>178</v>
      </c>
      <c r="V63" t="s">
        <v>179</v>
      </c>
      <c r="W63" t="s">
        <v>179</v>
      </c>
      <c r="X63" t="s">
        <v>179</v>
      </c>
      <c r="Y63" t="s">
        <v>180</v>
      </c>
      <c r="Z63" t="s">
        <v>180</v>
      </c>
      <c r="AA63" t="s">
        <v>180</v>
      </c>
      <c r="AB63" t="s">
        <v>181</v>
      </c>
      <c r="AC63" t="s">
        <v>181</v>
      </c>
      <c r="AD63" t="s">
        <v>181</v>
      </c>
      <c r="AE63" t="s">
        <v>182</v>
      </c>
      <c r="AF63" t="s">
        <v>183</v>
      </c>
      <c r="AG63" t="s">
        <v>184</v>
      </c>
      <c r="AH63" t="s">
        <v>182</v>
      </c>
    </row>
    <row r="64" spans="1:34">
      <c r="A64" s="6" t="s">
        <v>185</v>
      </c>
      <c r="B64" s="7" t="s">
        <v>4</v>
      </c>
      <c r="C64" s="7" t="s">
        <v>57</v>
      </c>
      <c r="D64" t="s">
        <v>58</v>
      </c>
      <c r="G64" t="s">
        <v>173</v>
      </c>
      <c r="H64" t="s">
        <v>173</v>
      </c>
      <c r="I64" t="s">
        <v>173</v>
      </c>
      <c r="J64" t="s">
        <v>173</v>
      </c>
      <c r="K64" t="s">
        <v>173</v>
      </c>
      <c r="L64" t="s">
        <v>173</v>
      </c>
      <c r="M64" t="s">
        <v>174</v>
      </c>
      <c r="N64" t="s">
        <v>174</v>
      </c>
      <c r="O64" t="s">
        <v>173</v>
      </c>
      <c r="P64" t="s">
        <v>180</v>
      </c>
      <c r="Q64" t="s">
        <v>180</v>
      </c>
      <c r="R64" t="s">
        <v>181</v>
      </c>
      <c r="S64" t="s">
        <v>181</v>
      </c>
      <c r="T64" t="s">
        <v>181</v>
      </c>
      <c r="U64" t="s">
        <v>181</v>
      </c>
      <c r="V64" t="s">
        <v>181</v>
      </c>
      <c r="W64" t="s">
        <v>181</v>
      </c>
      <c r="X64" t="s">
        <v>181</v>
      </c>
      <c r="Y64" t="s">
        <v>180</v>
      </c>
      <c r="Z64" t="s">
        <v>180</v>
      </c>
      <c r="AA64" t="s">
        <v>180</v>
      </c>
      <c r="AB64" t="s">
        <v>181</v>
      </c>
      <c r="AC64" t="s">
        <v>181</v>
      </c>
      <c r="AD64" t="s">
        <v>181</v>
      </c>
      <c r="AE64" t="s">
        <v>181</v>
      </c>
      <c r="AF64" t="s">
        <v>181</v>
      </c>
      <c r="AG64" t="s">
        <v>184</v>
      </c>
      <c r="AH64" t="s">
        <v>181</v>
      </c>
    </row>
    <row r="65" ht="40.5" spans="1:34">
      <c r="A65" s="6" t="s">
        <v>186</v>
      </c>
      <c r="B65" s="7" t="s">
        <v>4</v>
      </c>
      <c r="C65" s="7" t="s">
        <v>57</v>
      </c>
      <c r="D65" t="s">
        <v>58</v>
      </c>
      <c r="F65" s="1" t="s">
        <v>187</v>
      </c>
      <c r="G65" t="s">
        <v>188</v>
      </c>
      <c r="H65" t="s">
        <v>188</v>
      </c>
      <c r="I65" t="s">
        <v>188</v>
      </c>
      <c r="J65" t="s">
        <v>188</v>
      </c>
      <c r="K65" t="s">
        <v>188</v>
      </c>
      <c r="L65" t="s">
        <v>188</v>
      </c>
      <c r="M65" t="s">
        <v>188</v>
      </c>
      <c r="N65" t="s">
        <v>188</v>
      </c>
      <c r="O65" t="s">
        <v>189</v>
      </c>
      <c r="P65" t="s">
        <v>190</v>
      </c>
      <c r="Q65" t="s">
        <v>191</v>
      </c>
      <c r="R65" t="s">
        <v>191</v>
      </c>
      <c r="S65" t="s">
        <v>190</v>
      </c>
      <c r="T65" t="s">
        <v>190</v>
      </c>
      <c r="U65" t="s">
        <v>190</v>
      </c>
      <c r="V65" t="s">
        <v>190</v>
      </c>
      <c r="W65" t="s">
        <v>190</v>
      </c>
      <c r="X65" t="s">
        <v>190</v>
      </c>
      <c r="Y65" t="s">
        <v>190</v>
      </c>
      <c r="Z65" t="s">
        <v>190</v>
      </c>
      <c r="AA65" t="s">
        <v>190</v>
      </c>
      <c r="AB65" t="s">
        <v>190</v>
      </c>
      <c r="AC65" t="s">
        <v>190</v>
      </c>
      <c r="AD65" t="s">
        <v>190</v>
      </c>
      <c r="AE65" t="s">
        <v>192</v>
      </c>
      <c r="AF65" t="s">
        <v>192</v>
      </c>
      <c r="AG65" t="s">
        <v>191</v>
      </c>
      <c r="AH65" t="s">
        <v>192</v>
      </c>
    </row>
    <row r="66" spans="1:34">
      <c r="A66" s="6" t="s">
        <v>193</v>
      </c>
      <c r="B66" s="7" t="s">
        <v>4</v>
      </c>
      <c r="C66" s="7" t="s">
        <v>57</v>
      </c>
      <c r="D66" t="s">
        <v>58</v>
      </c>
      <c r="G66" t="s">
        <v>194</v>
      </c>
      <c r="H66" t="s">
        <v>194</v>
      </c>
      <c r="I66" t="s">
        <v>194</v>
      </c>
      <c r="J66" t="s">
        <v>194</v>
      </c>
      <c r="K66" t="s">
        <v>194</v>
      </c>
      <c r="L66" t="s">
        <v>194</v>
      </c>
      <c r="M66" t="s">
        <v>194</v>
      </c>
      <c r="N66" t="s">
        <v>194</v>
      </c>
      <c r="O66" t="s">
        <v>195</v>
      </c>
      <c r="P66" t="s">
        <v>195</v>
      </c>
      <c r="Q66" t="s">
        <v>195</v>
      </c>
      <c r="R66" t="s">
        <v>195</v>
      </c>
      <c r="S66" t="s">
        <v>195</v>
      </c>
      <c r="T66" t="s">
        <v>195</v>
      </c>
      <c r="U66" t="s">
        <v>195</v>
      </c>
      <c r="V66" t="s">
        <v>195</v>
      </c>
      <c r="W66" t="s">
        <v>195</v>
      </c>
      <c r="X66" t="s">
        <v>195</v>
      </c>
      <c r="Y66" t="s">
        <v>195</v>
      </c>
      <c r="Z66" t="s">
        <v>195</v>
      </c>
      <c r="AA66" t="s">
        <v>195</v>
      </c>
      <c r="AB66" t="s">
        <v>195</v>
      </c>
      <c r="AC66" t="s">
        <v>195</v>
      </c>
      <c r="AD66" t="s">
        <v>195</v>
      </c>
      <c r="AE66" t="s">
        <v>195</v>
      </c>
      <c r="AF66" t="s">
        <v>195</v>
      </c>
      <c r="AG66" t="s">
        <v>195</v>
      </c>
      <c r="AH66" t="s">
        <v>195</v>
      </c>
    </row>
    <row r="67" customFormat="1" spans="1:34">
      <c r="A67" s="6" t="s">
        <v>196</v>
      </c>
      <c r="B67" s="7" t="s">
        <v>4</v>
      </c>
      <c r="C67" s="7" t="s">
        <v>57</v>
      </c>
      <c r="D67" t="s">
        <v>58</v>
      </c>
      <c r="F67" s="1"/>
      <c r="G67" t="s">
        <v>4</v>
      </c>
      <c r="H67" t="s">
        <v>4</v>
      </c>
      <c r="I67" t="s">
        <v>4</v>
      </c>
      <c r="J67" t="s">
        <v>4</v>
      </c>
      <c r="K67" t="s">
        <v>4</v>
      </c>
      <c r="L67" t="s">
        <v>4</v>
      </c>
      <c r="M67" t="s">
        <v>4</v>
      </c>
      <c r="N67" t="s">
        <v>4</v>
      </c>
      <c r="O67" t="s">
        <v>4</v>
      </c>
      <c r="P67" t="s">
        <v>197</v>
      </c>
      <c r="Q67" t="s">
        <v>197</v>
      </c>
      <c r="R67" t="s">
        <v>198</v>
      </c>
      <c r="S67" t="s">
        <v>199</v>
      </c>
      <c r="T67" t="s">
        <v>200</v>
      </c>
      <c r="U67" t="s">
        <v>200</v>
      </c>
      <c r="V67" t="s">
        <v>198</v>
      </c>
      <c r="W67" t="s">
        <v>198</v>
      </c>
      <c r="X67" t="s">
        <v>198</v>
      </c>
      <c r="Y67" t="s">
        <v>200</v>
      </c>
      <c r="Z67" t="s">
        <v>200</v>
      </c>
      <c r="AA67" t="s">
        <v>200</v>
      </c>
      <c r="AB67" t="s">
        <v>198</v>
      </c>
      <c r="AC67" t="s">
        <v>198</v>
      </c>
      <c r="AD67" t="s">
        <v>198</v>
      </c>
      <c r="AE67" t="s">
        <v>201</v>
      </c>
      <c r="AF67" t="s">
        <v>200</v>
      </c>
      <c r="AG67" t="s">
        <v>200</v>
      </c>
      <c r="AH67" t="s">
        <v>201</v>
      </c>
    </row>
    <row r="68" customFormat="1" spans="1:34">
      <c r="A68" s="6" t="s">
        <v>202</v>
      </c>
      <c r="B68" s="7" t="s">
        <v>4</v>
      </c>
      <c r="C68" s="7" t="s">
        <v>57</v>
      </c>
      <c r="D68" t="s">
        <v>58</v>
      </c>
      <c r="F68" s="1"/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  <c r="N68" t="s">
        <v>4</v>
      </c>
      <c r="O68" t="s">
        <v>4</v>
      </c>
      <c r="P68" t="s">
        <v>203</v>
      </c>
      <c r="Q68" t="s">
        <v>197</v>
      </c>
      <c r="R68" t="s">
        <v>198</v>
      </c>
      <c r="S68" t="s">
        <v>200</v>
      </c>
      <c r="T68" t="s">
        <v>200</v>
      </c>
      <c r="U68" t="s">
        <v>200</v>
      </c>
      <c r="V68" t="s">
        <v>200</v>
      </c>
      <c r="W68" t="s">
        <v>200</v>
      </c>
      <c r="X68" t="s">
        <v>200</v>
      </c>
      <c r="Y68" t="s">
        <v>200</v>
      </c>
      <c r="Z68" t="s">
        <v>200</v>
      </c>
      <c r="AA68" t="s">
        <v>200</v>
      </c>
      <c r="AB68" t="s">
        <v>200</v>
      </c>
      <c r="AC68" t="s">
        <v>200</v>
      </c>
      <c r="AD68" t="s">
        <v>200</v>
      </c>
      <c r="AE68" t="s">
        <v>200</v>
      </c>
      <c r="AF68" t="s">
        <v>200</v>
      </c>
      <c r="AG68" t="s">
        <v>200</v>
      </c>
      <c r="AH68" t="s">
        <v>200</v>
      </c>
    </row>
    <row r="69" customFormat="1" spans="1:34">
      <c r="A69" s="6" t="s">
        <v>204</v>
      </c>
      <c r="B69" s="7" t="s">
        <v>4</v>
      </c>
      <c r="C69" s="7" t="s">
        <v>57</v>
      </c>
      <c r="D69" t="s">
        <v>58</v>
      </c>
      <c r="F69" s="1"/>
      <c r="G69" t="s">
        <v>4</v>
      </c>
      <c r="H69" t="s">
        <v>4</v>
      </c>
      <c r="I69" t="s">
        <v>4</v>
      </c>
      <c r="J69" t="s">
        <v>4</v>
      </c>
      <c r="K69" t="s">
        <v>4</v>
      </c>
      <c r="L69" t="s">
        <v>4</v>
      </c>
      <c r="M69" t="s">
        <v>4</v>
      </c>
      <c r="N69" t="s">
        <v>4</v>
      </c>
      <c r="O69" t="s">
        <v>4</v>
      </c>
      <c r="P69" t="s">
        <v>203</v>
      </c>
      <c r="Q69" t="s">
        <v>203</v>
      </c>
      <c r="R69" t="s">
        <v>205</v>
      </c>
      <c r="S69" t="s">
        <v>203</v>
      </c>
      <c r="T69" t="s">
        <v>203</v>
      </c>
      <c r="U69" t="s">
        <v>203</v>
      </c>
      <c r="V69" t="s">
        <v>205</v>
      </c>
      <c r="W69" t="s">
        <v>205</v>
      </c>
      <c r="X69" t="s">
        <v>205</v>
      </c>
      <c r="Y69" t="s">
        <v>203</v>
      </c>
      <c r="Z69" t="s">
        <v>203</v>
      </c>
      <c r="AA69" t="s">
        <v>203</v>
      </c>
      <c r="AB69" t="s">
        <v>203</v>
      </c>
      <c r="AC69" t="s">
        <v>203</v>
      </c>
      <c r="AD69" t="s">
        <v>203</v>
      </c>
      <c r="AE69" t="s">
        <v>205</v>
      </c>
      <c r="AF69" t="s">
        <v>206</v>
      </c>
      <c r="AG69" t="s">
        <v>206</v>
      </c>
      <c r="AH69" t="s">
        <v>205</v>
      </c>
    </row>
    <row r="70" customFormat="1" spans="1:34">
      <c r="A70" s="6" t="s">
        <v>207</v>
      </c>
      <c r="B70" s="7" t="s">
        <v>4</v>
      </c>
      <c r="C70" s="7" t="s">
        <v>57</v>
      </c>
      <c r="D70" t="s">
        <v>58</v>
      </c>
      <c r="F70" s="1"/>
      <c r="G70" t="s">
        <v>4</v>
      </c>
      <c r="H70" t="s">
        <v>4</v>
      </c>
      <c r="I70" t="s">
        <v>4</v>
      </c>
      <c r="J70" t="s">
        <v>4</v>
      </c>
      <c r="K70" t="s">
        <v>4</v>
      </c>
      <c r="L70" t="s">
        <v>4</v>
      </c>
      <c r="M70" t="s">
        <v>4</v>
      </c>
      <c r="N70" t="s">
        <v>4</v>
      </c>
      <c r="O70" t="s">
        <v>4</v>
      </c>
      <c r="P70" t="s">
        <v>203</v>
      </c>
      <c r="Q70" t="s">
        <v>203</v>
      </c>
      <c r="R70" t="s">
        <v>205</v>
      </c>
      <c r="S70" t="s">
        <v>203</v>
      </c>
      <c r="T70" t="s">
        <v>203</v>
      </c>
      <c r="U70" t="s">
        <v>203</v>
      </c>
      <c r="V70" t="s">
        <v>205</v>
      </c>
      <c r="W70" t="s">
        <v>205</v>
      </c>
      <c r="X70" t="s">
        <v>205</v>
      </c>
      <c r="Y70" t="s">
        <v>203</v>
      </c>
      <c r="Z70" t="s">
        <v>203</v>
      </c>
      <c r="AA70" t="s">
        <v>203</v>
      </c>
      <c r="AB70" t="s">
        <v>203</v>
      </c>
      <c r="AC70" t="s">
        <v>203</v>
      </c>
      <c r="AD70" t="s">
        <v>203</v>
      </c>
      <c r="AE70" t="s">
        <v>205</v>
      </c>
      <c r="AF70" t="s">
        <v>206</v>
      </c>
      <c r="AG70" t="s">
        <v>206</v>
      </c>
      <c r="AH70" t="s">
        <v>205</v>
      </c>
    </row>
    <row r="71" spans="1:34">
      <c r="A71" s="6" t="s">
        <v>208</v>
      </c>
      <c r="B71" s="7" t="s">
        <v>4</v>
      </c>
      <c r="C71" s="7" t="s">
        <v>57</v>
      </c>
      <c r="D71" t="s">
        <v>58</v>
      </c>
      <c r="G71" t="s">
        <v>4</v>
      </c>
      <c r="H71" t="s">
        <v>4</v>
      </c>
      <c r="I71" t="s">
        <v>4</v>
      </c>
      <c r="J71" t="s">
        <v>4</v>
      </c>
      <c r="K71" t="s">
        <v>4</v>
      </c>
      <c r="L71" t="s">
        <v>4</v>
      </c>
      <c r="M71" t="s">
        <v>4</v>
      </c>
      <c r="N71" t="s">
        <v>4</v>
      </c>
      <c r="O71" t="s">
        <v>198</v>
      </c>
      <c r="P71" t="s">
        <v>4</v>
      </c>
      <c r="Q71" t="s">
        <v>4</v>
      </c>
      <c r="R71" t="s">
        <v>4</v>
      </c>
      <c r="S71" t="s">
        <v>4</v>
      </c>
      <c r="T71" t="s">
        <v>4</v>
      </c>
      <c r="U71" t="s">
        <v>4</v>
      </c>
      <c r="V71" t="s">
        <v>4</v>
      </c>
      <c r="W71" t="s">
        <v>4</v>
      </c>
      <c r="X71" t="s">
        <v>4</v>
      </c>
      <c r="Y71" t="s">
        <v>4</v>
      </c>
      <c r="Z71" t="s">
        <v>4</v>
      </c>
      <c r="AA71" t="s">
        <v>4</v>
      </c>
      <c r="AB71" t="s">
        <v>4</v>
      </c>
      <c r="AC71" t="s">
        <v>4</v>
      </c>
      <c r="AD71" t="s">
        <v>4</v>
      </c>
      <c r="AE71" t="s">
        <v>4</v>
      </c>
      <c r="AF71" t="s">
        <v>4</v>
      </c>
      <c r="AG71" t="s">
        <v>4</v>
      </c>
      <c r="AH71" t="s">
        <v>4</v>
      </c>
    </row>
    <row r="72" spans="1:34">
      <c r="A72" s="6" t="s">
        <v>209</v>
      </c>
      <c r="B72" s="7" t="s">
        <v>4</v>
      </c>
      <c r="C72" s="7" t="s">
        <v>57</v>
      </c>
      <c r="D72" t="s">
        <v>58</v>
      </c>
      <c r="G72" t="s">
        <v>198</v>
      </c>
      <c r="H72" s="13" t="s">
        <v>210</v>
      </c>
      <c r="I72" t="s">
        <v>198</v>
      </c>
      <c r="J72" s="13" t="s">
        <v>211</v>
      </c>
      <c r="K72" t="s">
        <v>198</v>
      </c>
      <c r="L72" s="13" t="s">
        <v>211</v>
      </c>
      <c r="M72" t="s">
        <v>198</v>
      </c>
      <c r="N72" t="s">
        <v>212</v>
      </c>
      <c r="O72" t="s">
        <v>4</v>
      </c>
      <c r="P72" t="s">
        <v>4</v>
      </c>
      <c r="Q72" t="s">
        <v>4</v>
      </c>
      <c r="R72" t="s">
        <v>4</v>
      </c>
      <c r="S72" t="s">
        <v>4</v>
      </c>
      <c r="T72" t="s">
        <v>4</v>
      </c>
      <c r="U72" t="s">
        <v>4</v>
      </c>
      <c r="V72" t="s">
        <v>4</v>
      </c>
      <c r="W72" t="s">
        <v>4</v>
      </c>
      <c r="X72" t="s">
        <v>4</v>
      </c>
      <c r="Y72" t="s">
        <v>4</v>
      </c>
      <c r="Z72" t="s">
        <v>4</v>
      </c>
      <c r="AA72" t="s">
        <v>4</v>
      </c>
      <c r="AB72" t="s">
        <v>4</v>
      </c>
      <c r="AC72" t="s">
        <v>4</v>
      </c>
      <c r="AD72" t="s">
        <v>4</v>
      </c>
      <c r="AE72" t="s">
        <v>4</v>
      </c>
      <c r="AF72" t="s">
        <v>4</v>
      </c>
      <c r="AG72" t="s">
        <v>4</v>
      </c>
      <c r="AH72" t="s">
        <v>4</v>
      </c>
    </row>
    <row r="73" spans="1:34">
      <c r="A73" s="6" t="s">
        <v>213</v>
      </c>
      <c r="B73" s="7" t="s">
        <v>4</v>
      </c>
      <c r="C73" s="7" t="s">
        <v>57</v>
      </c>
      <c r="D73" t="s">
        <v>58</v>
      </c>
      <c r="G73" t="s">
        <v>198</v>
      </c>
      <c r="H73" s="13" t="s">
        <v>210</v>
      </c>
      <c r="I73" t="s">
        <v>198</v>
      </c>
      <c r="J73" s="13" t="s">
        <v>211</v>
      </c>
      <c r="K73" t="s">
        <v>198</v>
      </c>
      <c r="L73" s="13" t="s">
        <v>211</v>
      </c>
      <c r="M73" t="s">
        <v>198</v>
      </c>
      <c r="N73" t="s">
        <v>212</v>
      </c>
      <c r="O73" t="s">
        <v>4</v>
      </c>
      <c r="P73" t="s">
        <v>4</v>
      </c>
      <c r="Q73" t="s">
        <v>4</v>
      </c>
      <c r="R73" t="s">
        <v>4</v>
      </c>
      <c r="S73" t="s">
        <v>4</v>
      </c>
      <c r="T73" t="s">
        <v>4</v>
      </c>
      <c r="U73" t="s">
        <v>4</v>
      </c>
      <c r="V73" t="s">
        <v>4</v>
      </c>
      <c r="W73" t="s">
        <v>4</v>
      </c>
      <c r="X73" t="s">
        <v>4</v>
      </c>
      <c r="Y73" t="s">
        <v>4</v>
      </c>
      <c r="Z73" t="s">
        <v>4</v>
      </c>
      <c r="AA73" t="s">
        <v>4</v>
      </c>
      <c r="AB73" t="s">
        <v>4</v>
      </c>
      <c r="AC73" t="s">
        <v>4</v>
      </c>
      <c r="AD73" t="s">
        <v>4</v>
      </c>
      <c r="AE73" t="s">
        <v>4</v>
      </c>
      <c r="AF73" t="s">
        <v>4</v>
      </c>
      <c r="AG73" t="s">
        <v>4</v>
      </c>
      <c r="AH73" t="s">
        <v>4</v>
      </c>
    </row>
    <row r="74" spans="1:34">
      <c r="A74" s="6" t="s">
        <v>214</v>
      </c>
      <c r="B74" s="7" t="s">
        <v>4</v>
      </c>
      <c r="C74" s="7" t="s">
        <v>57</v>
      </c>
      <c r="D74" t="s">
        <v>58</v>
      </c>
      <c r="G74" t="s">
        <v>203</v>
      </c>
      <c r="H74" t="s">
        <v>203</v>
      </c>
      <c r="I74" t="s">
        <v>203</v>
      </c>
      <c r="J74" t="s">
        <v>203</v>
      </c>
      <c r="K74" t="s">
        <v>203</v>
      </c>
      <c r="L74" t="s">
        <v>203</v>
      </c>
      <c r="M74" t="s">
        <v>203</v>
      </c>
      <c r="N74" t="s">
        <v>203</v>
      </c>
      <c r="O74" t="s">
        <v>198</v>
      </c>
      <c r="P74" t="s">
        <v>203</v>
      </c>
      <c r="Q74" t="s">
        <v>203</v>
      </c>
      <c r="R74" t="s">
        <v>203</v>
      </c>
      <c r="S74" t="s">
        <v>203</v>
      </c>
      <c r="T74" t="s">
        <v>203</v>
      </c>
      <c r="U74" t="s">
        <v>203</v>
      </c>
      <c r="V74" t="s">
        <v>203</v>
      </c>
      <c r="W74" t="s">
        <v>203</v>
      </c>
      <c r="X74" t="s">
        <v>203</v>
      </c>
      <c r="Y74" t="s">
        <v>203</v>
      </c>
      <c r="Z74" t="s">
        <v>203</v>
      </c>
      <c r="AA74" t="s">
        <v>203</v>
      </c>
      <c r="AB74" t="s">
        <v>203</v>
      </c>
      <c r="AC74" t="s">
        <v>203</v>
      </c>
      <c r="AD74" t="s">
        <v>203</v>
      </c>
      <c r="AE74" t="s">
        <v>203</v>
      </c>
      <c r="AF74" t="s">
        <v>203</v>
      </c>
      <c r="AG74" t="s">
        <v>203</v>
      </c>
      <c r="AH74" t="s">
        <v>203</v>
      </c>
    </row>
    <row r="75" spans="1:34">
      <c r="A75" s="6" t="s">
        <v>215</v>
      </c>
      <c r="B75" s="7" t="s">
        <v>4</v>
      </c>
      <c r="C75" s="7" t="s">
        <v>57</v>
      </c>
      <c r="D75" t="s">
        <v>58</v>
      </c>
      <c r="G75" t="s">
        <v>203</v>
      </c>
      <c r="H75" t="s">
        <v>203</v>
      </c>
      <c r="I75" t="s">
        <v>203</v>
      </c>
      <c r="J75" t="s">
        <v>203</v>
      </c>
      <c r="K75" t="s">
        <v>203</v>
      </c>
      <c r="L75" t="s">
        <v>203</v>
      </c>
      <c r="M75" t="s">
        <v>203</v>
      </c>
      <c r="N75" t="s">
        <v>203</v>
      </c>
      <c r="O75" t="s">
        <v>198</v>
      </c>
      <c r="P75" t="s">
        <v>203</v>
      </c>
      <c r="Q75" t="s">
        <v>203</v>
      </c>
      <c r="R75" t="s">
        <v>203</v>
      </c>
      <c r="S75" t="s">
        <v>203</v>
      </c>
      <c r="T75" t="s">
        <v>203</v>
      </c>
      <c r="U75" t="s">
        <v>203</v>
      </c>
      <c r="V75" t="s">
        <v>203</v>
      </c>
      <c r="W75" t="s">
        <v>203</v>
      </c>
      <c r="X75" t="s">
        <v>203</v>
      </c>
      <c r="Y75" t="s">
        <v>203</v>
      </c>
      <c r="Z75" t="s">
        <v>203</v>
      </c>
      <c r="AA75" t="s">
        <v>203</v>
      </c>
      <c r="AB75" t="s">
        <v>203</v>
      </c>
      <c r="AC75" t="s">
        <v>203</v>
      </c>
      <c r="AD75" t="s">
        <v>203</v>
      </c>
      <c r="AE75" t="s">
        <v>203</v>
      </c>
      <c r="AF75" t="s">
        <v>203</v>
      </c>
      <c r="AG75" t="s">
        <v>203</v>
      </c>
      <c r="AH75" t="s">
        <v>203</v>
      </c>
    </row>
    <row r="76" ht="27" spans="1:34">
      <c r="A76" s="6" t="s">
        <v>216</v>
      </c>
      <c r="B76" s="7" t="s">
        <v>4</v>
      </c>
      <c r="C76" s="7" t="s">
        <v>57</v>
      </c>
      <c r="D76" t="s">
        <v>58</v>
      </c>
      <c r="G76" t="s">
        <v>203</v>
      </c>
      <c r="H76" t="s">
        <v>203</v>
      </c>
      <c r="I76" t="s">
        <v>217</v>
      </c>
      <c r="J76" t="s">
        <v>203</v>
      </c>
      <c r="K76" t="s">
        <v>217</v>
      </c>
      <c r="L76" t="s">
        <v>203</v>
      </c>
      <c r="M76" t="s">
        <v>203</v>
      </c>
      <c r="N76" t="s">
        <v>203</v>
      </c>
      <c r="O76" t="s">
        <v>203</v>
      </c>
      <c r="P76" t="s">
        <v>203</v>
      </c>
      <c r="Q76" t="s">
        <v>203</v>
      </c>
      <c r="R76" t="s">
        <v>203</v>
      </c>
      <c r="S76" t="s">
        <v>203</v>
      </c>
      <c r="T76" t="s">
        <v>203</v>
      </c>
      <c r="U76" t="s">
        <v>203</v>
      </c>
      <c r="V76" t="s">
        <v>203</v>
      </c>
      <c r="W76" t="s">
        <v>203</v>
      </c>
      <c r="X76" t="s">
        <v>203</v>
      </c>
      <c r="Y76" t="s">
        <v>203</v>
      </c>
      <c r="Z76" t="s">
        <v>203</v>
      </c>
      <c r="AA76" t="s">
        <v>203</v>
      </c>
      <c r="AB76" t="s">
        <v>203</v>
      </c>
      <c r="AC76" t="s">
        <v>203</v>
      </c>
      <c r="AD76" t="s">
        <v>203</v>
      </c>
      <c r="AE76" t="s">
        <v>203</v>
      </c>
      <c r="AF76" t="s">
        <v>203</v>
      </c>
      <c r="AG76" t="s">
        <v>203</v>
      </c>
      <c r="AH76" t="s">
        <v>203</v>
      </c>
    </row>
    <row r="77" spans="1:34">
      <c r="A77" s="6" t="s">
        <v>218</v>
      </c>
      <c r="B77" s="7" t="s">
        <v>4</v>
      </c>
      <c r="C77" s="7" t="s">
        <v>57</v>
      </c>
      <c r="D77" t="s">
        <v>58</v>
      </c>
      <c r="G77" t="s">
        <v>203</v>
      </c>
      <c r="H77" t="s">
        <v>203</v>
      </c>
      <c r="I77" t="s">
        <v>203</v>
      </c>
      <c r="J77" t="s">
        <v>203</v>
      </c>
      <c r="K77" t="s">
        <v>203</v>
      </c>
      <c r="L77" t="s">
        <v>203</v>
      </c>
      <c r="M77" t="s">
        <v>219</v>
      </c>
      <c r="N77" t="s">
        <v>219</v>
      </c>
      <c r="O77" t="s">
        <v>203</v>
      </c>
      <c r="P77" t="s">
        <v>203</v>
      </c>
      <c r="Q77" t="s">
        <v>203</v>
      </c>
      <c r="R77" t="s">
        <v>203</v>
      </c>
      <c r="S77" t="s">
        <v>203</v>
      </c>
      <c r="T77" t="s">
        <v>203</v>
      </c>
      <c r="U77" t="s">
        <v>203</v>
      </c>
      <c r="V77" t="s">
        <v>203</v>
      </c>
      <c r="W77" t="s">
        <v>203</v>
      </c>
      <c r="X77" t="s">
        <v>203</v>
      </c>
      <c r="Y77" t="s">
        <v>203</v>
      </c>
      <c r="Z77" t="s">
        <v>203</v>
      </c>
      <c r="AA77" t="s">
        <v>203</v>
      </c>
      <c r="AB77" t="s">
        <v>203</v>
      </c>
      <c r="AC77" t="s">
        <v>203</v>
      </c>
      <c r="AD77" t="s">
        <v>203</v>
      </c>
      <c r="AE77" t="s">
        <v>203</v>
      </c>
      <c r="AF77" t="s">
        <v>203</v>
      </c>
      <c r="AG77" t="s">
        <v>203</v>
      </c>
      <c r="AH77" t="s">
        <v>203</v>
      </c>
    </row>
    <row r="78" ht="27" spans="1:34">
      <c r="A78" s="6" t="s">
        <v>220</v>
      </c>
      <c r="B78" s="7" t="s">
        <v>4</v>
      </c>
      <c r="C78" s="7" t="s">
        <v>57</v>
      </c>
      <c r="D78" t="s">
        <v>58</v>
      </c>
      <c r="G78" t="s">
        <v>221</v>
      </c>
      <c r="H78" t="s">
        <v>203</v>
      </c>
      <c r="I78" t="s">
        <v>221</v>
      </c>
      <c r="J78" t="s">
        <v>203</v>
      </c>
      <c r="K78" t="s">
        <v>221</v>
      </c>
      <c r="L78" t="s">
        <v>203</v>
      </c>
      <c r="M78" t="s">
        <v>203</v>
      </c>
      <c r="N78" t="s">
        <v>203</v>
      </c>
      <c r="O78" t="s">
        <v>221</v>
      </c>
      <c r="P78" t="s">
        <v>203</v>
      </c>
      <c r="Q78" t="s">
        <v>203</v>
      </c>
      <c r="R78" t="s">
        <v>203</v>
      </c>
      <c r="S78" t="s">
        <v>203</v>
      </c>
      <c r="T78" t="s">
        <v>203</v>
      </c>
      <c r="U78" t="s">
        <v>203</v>
      </c>
      <c r="V78" t="s">
        <v>203</v>
      </c>
      <c r="W78" t="s">
        <v>203</v>
      </c>
      <c r="X78" t="s">
        <v>203</v>
      </c>
      <c r="Y78" t="s">
        <v>203</v>
      </c>
      <c r="Z78" t="s">
        <v>203</v>
      </c>
      <c r="AA78" t="s">
        <v>203</v>
      </c>
      <c r="AB78" t="s">
        <v>203</v>
      </c>
      <c r="AC78" t="s">
        <v>203</v>
      </c>
      <c r="AD78" t="s">
        <v>203</v>
      </c>
      <c r="AE78" t="s">
        <v>203</v>
      </c>
      <c r="AF78" t="s">
        <v>203</v>
      </c>
      <c r="AG78" t="s">
        <v>203</v>
      </c>
      <c r="AH78" t="s">
        <v>203</v>
      </c>
    </row>
    <row r="79" ht="27" spans="1:34">
      <c r="A79" s="6" t="s">
        <v>222</v>
      </c>
      <c r="B79" s="7"/>
      <c r="C79" s="7" t="s">
        <v>57</v>
      </c>
      <c r="D79" t="s">
        <v>58</v>
      </c>
      <c r="G79" t="s">
        <v>223</v>
      </c>
      <c r="H79" t="s">
        <v>223</v>
      </c>
      <c r="I79" t="s">
        <v>223</v>
      </c>
      <c r="J79" t="s">
        <v>223</v>
      </c>
      <c r="K79" t="s">
        <v>223</v>
      </c>
      <c r="L79" t="s">
        <v>223</v>
      </c>
      <c r="M79" t="s">
        <v>223</v>
      </c>
      <c r="N79" t="s">
        <v>223</v>
      </c>
      <c r="O79" t="s">
        <v>223</v>
      </c>
      <c r="P79" t="s">
        <v>203</v>
      </c>
      <c r="Q79" t="s">
        <v>203</v>
      </c>
      <c r="R79" t="s">
        <v>203</v>
      </c>
      <c r="S79" t="s">
        <v>203</v>
      </c>
      <c r="T79" t="s">
        <v>203</v>
      </c>
      <c r="U79" t="s">
        <v>203</v>
      </c>
      <c r="V79" t="s">
        <v>203</v>
      </c>
      <c r="W79" t="s">
        <v>203</v>
      </c>
      <c r="X79" t="s">
        <v>203</v>
      </c>
      <c r="Y79" t="s">
        <v>203</v>
      </c>
      <c r="Z79" t="s">
        <v>203</v>
      </c>
      <c r="AA79" t="s">
        <v>203</v>
      </c>
      <c r="AB79" t="s">
        <v>203</v>
      </c>
      <c r="AC79" t="s">
        <v>203</v>
      </c>
      <c r="AD79" t="s">
        <v>203</v>
      </c>
      <c r="AE79" t="s">
        <v>203</v>
      </c>
      <c r="AF79" t="s">
        <v>203</v>
      </c>
      <c r="AG79" t="s">
        <v>203</v>
      </c>
      <c r="AH79" t="s">
        <v>203</v>
      </c>
    </row>
    <row r="80" spans="1:34">
      <c r="A80" s="6" t="s">
        <v>224</v>
      </c>
      <c r="B80" s="7"/>
      <c r="C80" s="7"/>
      <c r="D80" t="s">
        <v>58</v>
      </c>
      <c r="G80" t="s">
        <v>203</v>
      </c>
      <c r="H80" t="s">
        <v>203</v>
      </c>
      <c r="I80" t="s">
        <v>203</v>
      </c>
      <c r="J80" t="s">
        <v>203</v>
      </c>
      <c r="K80" t="s">
        <v>203</v>
      </c>
      <c r="L80" t="s">
        <v>203</v>
      </c>
      <c r="M80" t="s">
        <v>203</v>
      </c>
      <c r="N80" t="s">
        <v>203</v>
      </c>
      <c r="O80" t="s">
        <v>203</v>
      </c>
      <c r="P80" t="s">
        <v>203</v>
      </c>
      <c r="Q80" t="s">
        <v>203</v>
      </c>
      <c r="R80" t="s">
        <v>203</v>
      </c>
      <c r="S80" t="s">
        <v>203</v>
      </c>
      <c r="T80" t="s">
        <v>203</v>
      </c>
      <c r="U80" t="s">
        <v>203</v>
      </c>
      <c r="V80" t="s">
        <v>203</v>
      </c>
      <c r="W80" t="s">
        <v>203</v>
      </c>
      <c r="X80" t="s">
        <v>203</v>
      </c>
      <c r="Y80" t="s">
        <v>203</v>
      </c>
      <c r="Z80" t="s">
        <v>203</v>
      </c>
      <c r="AA80" t="s">
        <v>203</v>
      </c>
      <c r="AB80" t="s">
        <v>203</v>
      </c>
      <c r="AC80" t="s">
        <v>203</v>
      </c>
      <c r="AD80" t="s">
        <v>203</v>
      </c>
      <c r="AE80" t="s">
        <v>203</v>
      </c>
      <c r="AF80" t="s">
        <v>203</v>
      </c>
      <c r="AG80" t="s">
        <v>203</v>
      </c>
      <c r="AH80" t="s">
        <v>203</v>
      </c>
    </row>
    <row r="81" spans="1:34">
      <c r="A81" s="6" t="s">
        <v>225</v>
      </c>
      <c r="B81" s="7" t="s">
        <v>4</v>
      </c>
      <c r="C81" s="7" t="s">
        <v>57</v>
      </c>
      <c r="D81" t="s">
        <v>58</v>
      </c>
      <c r="G81" t="s">
        <v>226</v>
      </c>
      <c r="H81" t="s">
        <v>203</v>
      </c>
      <c r="I81" t="s">
        <v>226</v>
      </c>
      <c r="J81" t="s">
        <v>203</v>
      </c>
      <c r="K81" t="s">
        <v>226</v>
      </c>
      <c r="L81" t="s">
        <v>203</v>
      </c>
      <c r="M81" t="s">
        <v>226</v>
      </c>
      <c r="N81" t="s">
        <v>203</v>
      </c>
      <c r="O81" t="s">
        <v>226</v>
      </c>
      <c r="P81" t="s">
        <v>203</v>
      </c>
      <c r="Q81" t="s">
        <v>203</v>
      </c>
      <c r="R81" t="s">
        <v>226</v>
      </c>
      <c r="S81" t="s">
        <v>203</v>
      </c>
      <c r="T81" t="s">
        <v>203</v>
      </c>
      <c r="U81" t="s">
        <v>203</v>
      </c>
      <c r="V81" t="s">
        <v>226</v>
      </c>
      <c r="W81" t="s">
        <v>226</v>
      </c>
      <c r="X81" t="s">
        <v>226</v>
      </c>
      <c r="Y81" t="s">
        <v>203</v>
      </c>
      <c r="Z81" t="s">
        <v>203</v>
      </c>
      <c r="AA81" t="s">
        <v>203</v>
      </c>
      <c r="AB81" t="s">
        <v>226</v>
      </c>
      <c r="AC81" t="s">
        <v>226</v>
      </c>
      <c r="AD81" t="s">
        <v>226</v>
      </c>
      <c r="AE81" t="s">
        <v>226</v>
      </c>
      <c r="AF81" t="s">
        <v>203</v>
      </c>
      <c r="AG81" t="s">
        <v>203</v>
      </c>
      <c r="AH81" t="s">
        <v>226</v>
      </c>
    </row>
    <row r="82" spans="1:34">
      <c r="A82" s="6" t="s">
        <v>227</v>
      </c>
      <c r="B82" s="7" t="s">
        <v>4</v>
      </c>
      <c r="C82" s="7" t="s">
        <v>57</v>
      </c>
      <c r="D82" t="s">
        <v>58</v>
      </c>
      <c r="G82" t="s">
        <v>228</v>
      </c>
      <c r="H82" t="s">
        <v>228</v>
      </c>
      <c r="I82" t="s">
        <v>228</v>
      </c>
      <c r="J82" t="s">
        <v>228</v>
      </c>
      <c r="K82" t="s">
        <v>228</v>
      </c>
      <c r="L82" t="s">
        <v>228</v>
      </c>
      <c r="M82" t="s">
        <v>228</v>
      </c>
      <c r="N82" t="s">
        <v>228</v>
      </c>
      <c r="O82" t="s">
        <v>203</v>
      </c>
      <c r="P82" t="s">
        <v>229</v>
      </c>
      <c r="Q82" t="s">
        <v>230</v>
      </c>
      <c r="R82" t="s">
        <v>230</v>
      </c>
      <c r="S82" t="s">
        <v>231</v>
      </c>
      <c r="T82" t="s">
        <v>231</v>
      </c>
      <c r="U82" t="s">
        <v>231</v>
      </c>
      <c r="V82" t="s">
        <v>231</v>
      </c>
      <c r="W82" t="s">
        <v>231</v>
      </c>
      <c r="X82" t="s">
        <v>231</v>
      </c>
      <c r="Y82" t="s">
        <v>232</v>
      </c>
      <c r="Z82" t="s">
        <v>232</v>
      </c>
      <c r="AA82" t="s">
        <v>232</v>
      </c>
      <c r="AB82" t="s">
        <v>232</v>
      </c>
      <c r="AC82" t="s">
        <v>232</v>
      </c>
      <c r="AD82" t="s">
        <v>232</v>
      </c>
      <c r="AE82" t="s">
        <v>233</v>
      </c>
      <c r="AF82" t="s">
        <v>233</v>
      </c>
      <c r="AG82" t="s">
        <v>233</v>
      </c>
      <c r="AH82" t="s">
        <v>233</v>
      </c>
    </row>
    <row r="83" spans="1:34">
      <c r="A83" s="6" t="s">
        <v>234</v>
      </c>
      <c r="B83" s="7" t="s">
        <v>4</v>
      </c>
      <c r="C83" s="7" t="s">
        <v>57</v>
      </c>
      <c r="D83" t="s">
        <v>58</v>
      </c>
      <c r="G83" t="s">
        <v>235</v>
      </c>
      <c r="H83" t="s">
        <v>235</v>
      </c>
      <c r="I83" t="s">
        <v>236</v>
      </c>
      <c r="J83" t="s">
        <v>236</v>
      </c>
      <c r="K83" t="s">
        <v>236</v>
      </c>
      <c r="L83" t="s">
        <v>236</v>
      </c>
      <c r="M83" t="s">
        <v>203</v>
      </c>
      <c r="N83" t="s">
        <v>203</v>
      </c>
      <c r="O83" t="s">
        <v>237</v>
      </c>
      <c r="P83" t="s">
        <v>203</v>
      </c>
      <c r="Q83" t="s">
        <v>203</v>
      </c>
      <c r="R83" t="s">
        <v>203</v>
      </c>
      <c r="S83" t="s">
        <v>203</v>
      </c>
      <c r="T83" t="s">
        <v>203</v>
      </c>
      <c r="U83" t="s">
        <v>203</v>
      </c>
      <c r="V83" t="s">
        <v>203</v>
      </c>
      <c r="W83" t="s">
        <v>203</v>
      </c>
      <c r="X83" t="s">
        <v>203</v>
      </c>
      <c r="Y83" t="s">
        <v>203</v>
      </c>
      <c r="Z83" t="s">
        <v>203</v>
      </c>
      <c r="AA83" t="s">
        <v>203</v>
      </c>
      <c r="AB83" t="s">
        <v>203</v>
      </c>
      <c r="AC83" t="s">
        <v>203</v>
      </c>
      <c r="AD83" t="s">
        <v>203</v>
      </c>
      <c r="AE83" t="s">
        <v>203</v>
      </c>
      <c r="AF83" t="s">
        <v>203</v>
      </c>
      <c r="AG83" t="s">
        <v>203</v>
      </c>
      <c r="AH83" t="s">
        <v>203</v>
      </c>
    </row>
    <row r="84" spans="1:34">
      <c r="A84" s="6" t="s">
        <v>238</v>
      </c>
      <c r="B84" s="7" t="s">
        <v>4</v>
      </c>
      <c r="C84" s="7" t="s">
        <v>57</v>
      </c>
      <c r="D84" t="s">
        <v>58</v>
      </c>
      <c r="G84" t="s">
        <v>239</v>
      </c>
      <c r="H84" t="s">
        <v>239</v>
      </c>
      <c r="I84" t="s">
        <v>239</v>
      </c>
      <c r="J84" t="s">
        <v>239</v>
      </c>
      <c r="K84" t="s">
        <v>239</v>
      </c>
      <c r="L84" t="s">
        <v>239</v>
      </c>
      <c r="M84" t="s">
        <v>240</v>
      </c>
      <c r="N84" t="s">
        <v>240</v>
      </c>
      <c r="O84" t="s">
        <v>241</v>
      </c>
      <c r="P84" t="s">
        <v>203</v>
      </c>
      <c r="Q84" t="s">
        <v>203</v>
      </c>
      <c r="R84" t="s">
        <v>203</v>
      </c>
      <c r="S84" t="s">
        <v>203</v>
      </c>
      <c r="T84" t="s">
        <v>203</v>
      </c>
      <c r="U84" t="s">
        <v>203</v>
      </c>
      <c r="V84" t="s">
        <v>203</v>
      </c>
      <c r="W84" t="s">
        <v>203</v>
      </c>
      <c r="X84" t="s">
        <v>203</v>
      </c>
      <c r="Y84" t="s">
        <v>203</v>
      </c>
      <c r="Z84" t="s">
        <v>203</v>
      </c>
      <c r="AA84" t="s">
        <v>203</v>
      </c>
      <c r="AB84" t="s">
        <v>203</v>
      </c>
      <c r="AC84" t="s">
        <v>203</v>
      </c>
      <c r="AD84" t="s">
        <v>203</v>
      </c>
      <c r="AE84" t="s">
        <v>203</v>
      </c>
      <c r="AF84" t="s">
        <v>203</v>
      </c>
      <c r="AG84" t="s">
        <v>203</v>
      </c>
      <c r="AH84" t="s">
        <v>203</v>
      </c>
    </row>
    <row r="85" spans="1:34">
      <c r="A85" s="6" t="s">
        <v>242</v>
      </c>
      <c r="B85" s="7" t="s">
        <v>4</v>
      </c>
      <c r="C85" s="7" t="s">
        <v>57</v>
      </c>
      <c r="D85" t="s">
        <v>58</v>
      </c>
      <c r="G85" t="s">
        <v>243</v>
      </c>
      <c r="H85" t="s">
        <v>243</v>
      </c>
      <c r="I85" t="s">
        <v>243</v>
      </c>
      <c r="J85" t="s">
        <v>243</v>
      </c>
      <c r="K85" t="s">
        <v>243</v>
      </c>
      <c r="L85" t="s">
        <v>243</v>
      </c>
      <c r="M85" t="s">
        <v>244</v>
      </c>
      <c r="N85" t="s">
        <v>244</v>
      </c>
      <c r="O85" t="s">
        <v>243</v>
      </c>
      <c r="P85" t="s">
        <v>203</v>
      </c>
      <c r="Q85" t="s">
        <v>203</v>
      </c>
      <c r="R85" t="s">
        <v>203</v>
      </c>
      <c r="S85" t="s">
        <v>203</v>
      </c>
      <c r="T85" t="s">
        <v>203</v>
      </c>
      <c r="U85" t="s">
        <v>203</v>
      </c>
      <c r="V85" t="s">
        <v>203</v>
      </c>
      <c r="W85" t="s">
        <v>203</v>
      </c>
      <c r="X85" t="s">
        <v>203</v>
      </c>
      <c r="Y85" t="s">
        <v>203</v>
      </c>
      <c r="Z85" t="s">
        <v>203</v>
      </c>
      <c r="AA85" t="s">
        <v>203</v>
      </c>
      <c r="AB85" t="s">
        <v>203</v>
      </c>
      <c r="AC85" t="s">
        <v>203</v>
      </c>
      <c r="AD85" t="s">
        <v>203</v>
      </c>
      <c r="AE85" t="s">
        <v>203</v>
      </c>
      <c r="AF85" t="s">
        <v>203</v>
      </c>
      <c r="AG85" t="s">
        <v>203</v>
      </c>
      <c r="AH85" t="s">
        <v>203</v>
      </c>
    </row>
    <row r="86" spans="1:34">
      <c r="A86" s="6" t="s">
        <v>245</v>
      </c>
      <c r="B86" s="7" t="s">
        <v>4</v>
      </c>
      <c r="C86" s="7" t="s">
        <v>57</v>
      </c>
      <c r="D86" t="s">
        <v>58</v>
      </c>
      <c r="G86" t="s">
        <v>246</v>
      </c>
      <c r="H86" t="s">
        <v>246</v>
      </c>
      <c r="I86" t="s">
        <v>246</v>
      </c>
      <c r="J86" t="s">
        <v>246</v>
      </c>
      <c r="K86" t="s">
        <v>246</v>
      </c>
      <c r="L86" t="s">
        <v>246</v>
      </c>
      <c r="M86" t="s">
        <v>246</v>
      </c>
      <c r="N86" t="s">
        <v>246</v>
      </c>
      <c r="O86" t="s">
        <v>246</v>
      </c>
      <c r="P86" t="s">
        <v>203</v>
      </c>
      <c r="Q86" t="s">
        <v>203</v>
      </c>
      <c r="R86" t="s">
        <v>203</v>
      </c>
      <c r="S86" t="s">
        <v>203</v>
      </c>
      <c r="T86" t="s">
        <v>203</v>
      </c>
      <c r="U86" t="s">
        <v>203</v>
      </c>
      <c r="V86" t="s">
        <v>203</v>
      </c>
      <c r="W86" t="s">
        <v>203</v>
      </c>
      <c r="X86" t="s">
        <v>203</v>
      </c>
      <c r="Y86" t="s">
        <v>203</v>
      </c>
      <c r="Z86" t="s">
        <v>203</v>
      </c>
      <c r="AA86" t="s">
        <v>203</v>
      </c>
      <c r="AB86" t="s">
        <v>203</v>
      </c>
      <c r="AC86" t="s">
        <v>203</v>
      </c>
      <c r="AD86" t="s">
        <v>203</v>
      </c>
      <c r="AE86" t="s">
        <v>203</v>
      </c>
      <c r="AF86" t="s">
        <v>203</v>
      </c>
      <c r="AG86" t="s">
        <v>203</v>
      </c>
      <c r="AH86" t="s">
        <v>203</v>
      </c>
    </row>
    <row r="87" spans="1:34">
      <c r="A87" s="6" t="s">
        <v>247</v>
      </c>
      <c r="B87" s="7" t="s">
        <v>4</v>
      </c>
      <c r="C87" s="7" t="s">
        <v>57</v>
      </c>
      <c r="D87" t="s">
        <v>58</v>
      </c>
      <c r="G87" t="s">
        <v>228</v>
      </c>
      <c r="H87" t="s">
        <v>228</v>
      </c>
      <c r="I87" t="s">
        <v>228</v>
      </c>
      <c r="J87" t="s">
        <v>228</v>
      </c>
      <c r="K87" t="s">
        <v>228</v>
      </c>
      <c r="L87" t="s">
        <v>228</v>
      </c>
      <c r="M87" t="s">
        <v>228</v>
      </c>
      <c r="N87" t="s">
        <v>228</v>
      </c>
      <c r="O87" t="s">
        <v>228</v>
      </c>
      <c r="P87" t="s">
        <v>203</v>
      </c>
      <c r="Q87" t="s">
        <v>203</v>
      </c>
      <c r="R87" t="s">
        <v>203</v>
      </c>
      <c r="S87" t="s">
        <v>203</v>
      </c>
      <c r="T87" t="s">
        <v>203</v>
      </c>
      <c r="U87" t="s">
        <v>203</v>
      </c>
      <c r="V87" t="s">
        <v>203</v>
      </c>
      <c r="W87" t="s">
        <v>203</v>
      </c>
      <c r="X87" t="s">
        <v>203</v>
      </c>
      <c r="Y87" t="s">
        <v>203</v>
      </c>
      <c r="Z87" t="s">
        <v>203</v>
      </c>
      <c r="AA87" t="s">
        <v>203</v>
      </c>
      <c r="AB87" t="s">
        <v>203</v>
      </c>
      <c r="AC87" t="s">
        <v>203</v>
      </c>
      <c r="AD87" t="s">
        <v>203</v>
      </c>
      <c r="AE87" t="s">
        <v>203</v>
      </c>
      <c r="AF87" t="s">
        <v>203</v>
      </c>
      <c r="AG87" t="s">
        <v>203</v>
      </c>
      <c r="AH87" t="s">
        <v>203</v>
      </c>
    </row>
    <row r="88" spans="1:34">
      <c r="A88" s="6" t="s">
        <v>248</v>
      </c>
      <c r="B88" s="7" t="s">
        <v>4</v>
      </c>
      <c r="C88" s="7" t="s">
        <v>57</v>
      </c>
      <c r="D88" t="s">
        <v>58</v>
      </c>
      <c r="G88" t="s">
        <v>228</v>
      </c>
      <c r="H88" t="s">
        <v>228</v>
      </c>
      <c r="I88" t="s">
        <v>228</v>
      </c>
      <c r="J88" t="s">
        <v>228</v>
      </c>
      <c r="K88" t="s">
        <v>228</v>
      </c>
      <c r="L88" t="s">
        <v>228</v>
      </c>
      <c r="M88" t="s">
        <v>203</v>
      </c>
      <c r="N88" t="s">
        <v>203</v>
      </c>
      <c r="O88" t="s">
        <v>228</v>
      </c>
      <c r="P88" t="s">
        <v>203</v>
      </c>
      <c r="Q88" t="s">
        <v>203</v>
      </c>
      <c r="R88" t="s">
        <v>203</v>
      </c>
      <c r="S88" t="s">
        <v>203</v>
      </c>
      <c r="T88" t="s">
        <v>203</v>
      </c>
      <c r="U88" t="s">
        <v>203</v>
      </c>
      <c r="V88" t="s">
        <v>203</v>
      </c>
      <c r="W88" t="s">
        <v>203</v>
      </c>
      <c r="X88" t="s">
        <v>203</v>
      </c>
      <c r="Y88" t="s">
        <v>203</v>
      </c>
      <c r="Z88" t="s">
        <v>203</v>
      </c>
      <c r="AA88" t="s">
        <v>203</v>
      </c>
      <c r="AB88" t="s">
        <v>203</v>
      </c>
      <c r="AC88" t="s">
        <v>203</v>
      </c>
      <c r="AD88" t="s">
        <v>203</v>
      </c>
      <c r="AE88" t="s">
        <v>203</v>
      </c>
      <c r="AF88" t="s">
        <v>203</v>
      </c>
      <c r="AG88" t="s">
        <v>203</v>
      </c>
      <c r="AH88" t="s">
        <v>203</v>
      </c>
    </row>
    <row r="89" spans="1:34">
      <c r="A89" s="6" t="s">
        <v>249</v>
      </c>
      <c r="B89" s="7" t="s">
        <v>4</v>
      </c>
      <c r="C89" s="7" t="s">
        <v>57</v>
      </c>
      <c r="D89" t="s">
        <v>58</v>
      </c>
      <c r="G89" t="s">
        <v>250</v>
      </c>
      <c r="H89" t="s">
        <v>250</v>
      </c>
      <c r="I89" t="s">
        <v>250</v>
      </c>
      <c r="J89" t="s">
        <v>250</v>
      </c>
      <c r="K89" t="s">
        <v>250</v>
      </c>
      <c r="L89" t="s">
        <v>250</v>
      </c>
      <c r="M89" t="s">
        <v>251</v>
      </c>
      <c r="N89" t="s">
        <v>251</v>
      </c>
      <c r="O89" t="s">
        <v>252</v>
      </c>
      <c r="P89" t="s">
        <v>203</v>
      </c>
      <c r="Q89" t="s">
        <v>203</v>
      </c>
      <c r="R89" t="s">
        <v>203</v>
      </c>
      <c r="S89" t="s">
        <v>203</v>
      </c>
      <c r="T89" t="s">
        <v>203</v>
      </c>
      <c r="U89" t="s">
        <v>203</v>
      </c>
      <c r="V89" t="s">
        <v>203</v>
      </c>
      <c r="W89" t="s">
        <v>203</v>
      </c>
      <c r="X89" t="s">
        <v>203</v>
      </c>
      <c r="Y89" t="s">
        <v>203</v>
      </c>
      <c r="Z89" t="s">
        <v>203</v>
      </c>
      <c r="AA89" t="s">
        <v>203</v>
      </c>
      <c r="AB89" t="s">
        <v>203</v>
      </c>
      <c r="AC89" t="s">
        <v>203</v>
      </c>
      <c r="AD89" t="s">
        <v>203</v>
      </c>
      <c r="AE89" t="s">
        <v>203</v>
      </c>
      <c r="AF89" t="s">
        <v>203</v>
      </c>
      <c r="AG89" t="s">
        <v>203</v>
      </c>
      <c r="AH89" t="s">
        <v>203</v>
      </c>
    </row>
    <row r="90" spans="1:34">
      <c r="A90" s="6" t="s">
        <v>253</v>
      </c>
      <c r="B90" s="7" t="s">
        <v>4</v>
      </c>
      <c r="C90" s="7" t="s">
        <v>57</v>
      </c>
      <c r="D90" t="s">
        <v>58</v>
      </c>
      <c r="G90" t="s">
        <v>254</v>
      </c>
      <c r="H90" t="s">
        <v>254</v>
      </c>
      <c r="I90" t="s">
        <v>254</v>
      </c>
      <c r="J90" t="s">
        <v>254</v>
      </c>
      <c r="K90" t="s">
        <v>254</v>
      </c>
      <c r="L90" t="s">
        <v>254</v>
      </c>
      <c r="M90" t="s">
        <v>254</v>
      </c>
      <c r="N90" t="s">
        <v>254</v>
      </c>
      <c r="O90" t="s">
        <v>254</v>
      </c>
      <c r="P90" t="s">
        <v>255</v>
      </c>
      <c r="Q90" t="s">
        <v>255</v>
      </c>
      <c r="R90" t="s">
        <v>255</v>
      </c>
      <c r="S90" t="s">
        <v>203</v>
      </c>
      <c r="T90" t="s">
        <v>254</v>
      </c>
      <c r="U90" t="s">
        <v>254</v>
      </c>
      <c r="V90" t="s">
        <v>203</v>
      </c>
      <c r="W90" t="s">
        <v>254</v>
      </c>
      <c r="X90" t="s">
        <v>254</v>
      </c>
      <c r="Y90" t="s">
        <v>255</v>
      </c>
      <c r="Z90" t="s">
        <v>256</v>
      </c>
      <c r="AA90" t="s">
        <v>256</v>
      </c>
      <c r="AB90" t="s">
        <v>255</v>
      </c>
      <c r="AC90" t="s">
        <v>256</v>
      </c>
      <c r="AD90" t="s">
        <v>256</v>
      </c>
      <c r="AE90" t="s">
        <v>255</v>
      </c>
      <c r="AF90" t="s">
        <v>255</v>
      </c>
      <c r="AG90" t="s">
        <v>257</v>
      </c>
      <c r="AH90" t="s">
        <v>255</v>
      </c>
    </row>
    <row r="91" spans="1:34">
      <c r="A91" s="6" t="s">
        <v>258</v>
      </c>
      <c r="B91" s="7" t="s">
        <v>4</v>
      </c>
      <c r="C91" s="7" t="s">
        <v>23</v>
      </c>
      <c r="D91" t="s">
        <v>58</v>
      </c>
      <c r="G91" t="s">
        <v>259</v>
      </c>
      <c r="H91" t="s">
        <v>259</v>
      </c>
      <c r="I91" t="s">
        <v>259</v>
      </c>
      <c r="J91" t="s">
        <v>259</v>
      </c>
      <c r="K91" t="s">
        <v>259</v>
      </c>
      <c r="L91" t="s">
        <v>259</v>
      </c>
      <c r="M91" t="s">
        <v>259</v>
      </c>
      <c r="N91" t="s">
        <v>259</v>
      </c>
      <c r="O91" t="s">
        <v>259</v>
      </c>
      <c r="P91" t="s">
        <v>203</v>
      </c>
      <c r="Q91" t="s">
        <v>203</v>
      </c>
      <c r="R91" t="s">
        <v>203</v>
      </c>
      <c r="S91" t="s">
        <v>203</v>
      </c>
      <c r="T91" t="s">
        <v>203</v>
      </c>
      <c r="U91" t="s">
        <v>203</v>
      </c>
      <c r="V91" t="s">
        <v>203</v>
      </c>
      <c r="W91" t="s">
        <v>203</v>
      </c>
      <c r="X91" t="s">
        <v>203</v>
      </c>
      <c r="Y91" t="s">
        <v>203</v>
      </c>
      <c r="Z91" t="s">
        <v>203</v>
      </c>
      <c r="AA91" t="s">
        <v>203</v>
      </c>
      <c r="AB91" t="s">
        <v>203</v>
      </c>
      <c r="AC91" t="s">
        <v>203</v>
      </c>
      <c r="AD91" t="s">
        <v>203</v>
      </c>
      <c r="AE91" t="s">
        <v>203</v>
      </c>
      <c r="AF91" t="s">
        <v>203</v>
      </c>
      <c r="AG91" t="s">
        <v>203</v>
      </c>
      <c r="AH91" t="s">
        <v>203</v>
      </c>
    </row>
    <row r="92" spans="1:34">
      <c r="A92" s="6" t="s">
        <v>138</v>
      </c>
      <c r="B92" s="7" t="s">
        <v>4</v>
      </c>
      <c r="C92" s="7" t="s">
        <v>57</v>
      </c>
      <c r="D92" t="s">
        <v>58</v>
      </c>
      <c r="G92" t="s">
        <v>260</v>
      </c>
      <c r="H92" t="s">
        <v>260</v>
      </c>
      <c r="I92" t="s">
        <v>260</v>
      </c>
      <c r="J92" t="s">
        <v>260</v>
      </c>
      <c r="K92" t="s">
        <v>260</v>
      </c>
      <c r="L92" t="s">
        <v>260</v>
      </c>
      <c r="M92" t="s">
        <v>260</v>
      </c>
      <c r="N92" t="s">
        <v>260</v>
      </c>
      <c r="O92" t="s">
        <v>261</v>
      </c>
      <c r="P92" t="s">
        <v>140</v>
      </c>
      <c r="Q92" t="s">
        <v>140</v>
      </c>
      <c r="R92" t="s">
        <v>140</v>
      </c>
      <c r="S92" t="s">
        <v>262</v>
      </c>
      <c r="T92" t="s">
        <v>262</v>
      </c>
      <c r="U92" t="s">
        <v>262</v>
      </c>
      <c r="V92" t="s">
        <v>262</v>
      </c>
      <c r="W92" t="s">
        <v>262</v>
      </c>
      <c r="X92" t="s">
        <v>262</v>
      </c>
      <c r="Y92" t="s">
        <v>262</v>
      </c>
      <c r="Z92" t="s">
        <v>262</v>
      </c>
      <c r="AA92" t="s">
        <v>262</v>
      </c>
      <c r="AB92" t="s">
        <v>262</v>
      </c>
      <c r="AC92" t="s">
        <v>262</v>
      </c>
      <c r="AD92" t="s">
        <v>262</v>
      </c>
      <c r="AE92" t="s">
        <v>228</v>
      </c>
      <c r="AF92" t="s">
        <v>228</v>
      </c>
      <c r="AG92" t="s">
        <v>263</v>
      </c>
      <c r="AH92" t="s">
        <v>228</v>
      </c>
    </row>
    <row r="93" spans="1:34">
      <c r="A93" s="6" t="s">
        <v>264</v>
      </c>
      <c r="B93" s="7" t="s">
        <v>4</v>
      </c>
      <c r="C93" s="7" t="s">
        <v>57</v>
      </c>
      <c r="D93" t="s">
        <v>58</v>
      </c>
      <c r="G93" t="s">
        <v>265</v>
      </c>
      <c r="H93" t="s">
        <v>265</v>
      </c>
      <c r="I93" t="s">
        <v>265</v>
      </c>
      <c r="J93" t="s">
        <v>265</v>
      </c>
      <c r="K93" t="s">
        <v>265</v>
      </c>
      <c r="L93" t="s">
        <v>265</v>
      </c>
      <c r="M93" t="s">
        <v>265</v>
      </c>
      <c r="N93" t="s">
        <v>265</v>
      </c>
      <c r="O93" t="s">
        <v>265</v>
      </c>
      <c r="P93" t="s">
        <v>229</v>
      </c>
      <c r="Q93" t="s">
        <v>230</v>
      </c>
      <c r="R93" t="s">
        <v>230</v>
      </c>
      <c r="S93" t="s">
        <v>233</v>
      </c>
      <c r="T93" t="s">
        <v>233</v>
      </c>
      <c r="U93" t="s">
        <v>266</v>
      </c>
      <c r="V93" t="s">
        <v>233</v>
      </c>
      <c r="W93" t="s">
        <v>266</v>
      </c>
      <c r="X93" t="s">
        <v>266</v>
      </c>
      <c r="Y93" t="s">
        <v>233</v>
      </c>
      <c r="Z93" t="s">
        <v>267</v>
      </c>
      <c r="AA93" t="s">
        <v>267</v>
      </c>
      <c r="AB93" t="s">
        <v>265</v>
      </c>
      <c r="AC93" t="s">
        <v>267</v>
      </c>
      <c r="AD93" t="s">
        <v>267</v>
      </c>
      <c r="AE93" t="s">
        <v>265</v>
      </c>
      <c r="AF93" t="s">
        <v>265</v>
      </c>
      <c r="AG93" t="s">
        <v>265</v>
      </c>
      <c r="AH93" t="s">
        <v>265</v>
      </c>
    </row>
    <row r="94" spans="1:34">
      <c r="A94" s="6" t="s">
        <v>268</v>
      </c>
      <c r="B94" s="7" t="s">
        <v>4</v>
      </c>
      <c r="C94" s="7" t="s">
        <v>57</v>
      </c>
      <c r="D94" t="s">
        <v>58</v>
      </c>
      <c r="G94" t="s">
        <v>269</v>
      </c>
      <c r="H94" t="s">
        <v>269</v>
      </c>
      <c r="I94" t="s">
        <v>269</v>
      </c>
      <c r="J94" t="s">
        <v>269</v>
      </c>
      <c r="K94" t="s">
        <v>269</v>
      </c>
      <c r="L94" t="s">
        <v>269</v>
      </c>
      <c r="M94" t="s">
        <v>265</v>
      </c>
      <c r="N94" t="s">
        <v>265</v>
      </c>
      <c r="O94" t="s">
        <v>269</v>
      </c>
      <c r="P94" t="s">
        <v>262</v>
      </c>
      <c r="Q94" t="s">
        <v>262</v>
      </c>
      <c r="R94" t="s">
        <v>262</v>
      </c>
      <c r="S94" t="s">
        <v>233</v>
      </c>
      <c r="T94" t="s">
        <v>233</v>
      </c>
      <c r="U94" t="s">
        <v>233</v>
      </c>
      <c r="V94" t="s">
        <v>233</v>
      </c>
      <c r="W94" t="s">
        <v>233</v>
      </c>
      <c r="X94" t="s">
        <v>233</v>
      </c>
      <c r="Y94" t="s">
        <v>233</v>
      </c>
      <c r="Z94" t="s">
        <v>233</v>
      </c>
      <c r="AA94" t="s">
        <v>233</v>
      </c>
      <c r="AB94" t="s">
        <v>233</v>
      </c>
      <c r="AC94" t="s">
        <v>233</v>
      </c>
      <c r="AD94" t="s">
        <v>233</v>
      </c>
      <c r="AE94" t="s">
        <v>265</v>
      </c>
      <c r="AF94" t="s">
        <v>265</v>
      </c>
      <c r="AG94" t="s">
        <v>269</v>
      </c>
      <c r="AH94" t="s">
        <v>265</v>
      </c>
    </row>
    <row r="95" spans="1:34">
      <c r="A95" s="6" t="s">
        <v>270</v>
      </c>
      <c r="B95" s="7" t="s">
        <v>4</v>
      </c>
      <c r="C95" s="7" t="s">
        <v>57</v>
      </c>
      <c r="D95" t="s">
        <v>58</v>
      </c>
      <c r="G95" t="s">
        <v>269</v>
      </c>
      <c r="H95" t="s">
        <v>269</v>
      </c>
      <c r="I95" t="s">
        <v>269</v>
      </c>
      <c r="J95" t="s">
        <v>269</v>
      </c>
      <c r="K95" t="s">
        <v>269</v>
      </c>
      <c r="L95" t="s">
        <v>269</v>
      </c>
      <c r="M95" t="s">
        <v>269</v>
      </c>
      <c r="N95" t="s">
        <v>269</v>
      </c>
      <c r="O95" t="s">
        <v>269</v>
      </c>
      <c r="P95" t="s">
        <v>203</v>
      </c>
      <c r="Q95" t="s">
        <v>203</v>
      </c>
      <c r="R95" t="s">
        <v>262</v>
      </c>
      <c r="S95" t="s">
        <v>203</v>
      </c>
      <c r="T95" t="s">
        <v>203</v>
      </c>
      <c r="U95" t="s">
        <v>203</v>
      </c>
      <c r="V95" t="s">
        <v>262</v>
      </c>
      <c r="W95" t="s">
        <v>262</v>
      </c>
      <c r="X95" t="s">
        <v>262</v>
      </c>
      <c r="Y95" t="s">
        <v>203</v>
      </c>
      <c r="Z95" t="s">
        <v>203</v>
      </c>
      <c r="AA95" t="s">
        <v>203</v>
      </c>
      <c r="AB95" t="s">
        <v>262</v>
      </c>
      <c r="AC95" t="s">
        <v>262</v>
      </c>
      <c r="AD95" t="s">
        <v>262</v>
      </c>
      <c r="AE95" t="s">
        <v>269</v>
      </c>
      <c r="AF95" t="s">
        <v>203</v>
      </c>
      <c r="AG95" t="s">
        <v>269</v>
      </c>
      <c r="AH95" t="s">
        <v>269</v>
      </c>
    </row>
    <row r="96" spans="1:34">
      <c r="A96" s="6" t="s">
        <v>271</v>
      </c>
      <c r="B96" s="7" t="s">
        <v>4</v>
      </c>
      <c r="C96" s="7" t="s">
        <v>57</v>
      </c>
      <c r="D96" t="s">
        <v>58</v>
      </c>
      <c r="G96" t="s">
        <v>269</v>
      </c>
      <c r="H96" t="s">
        <v>269</v>
      </c>
      <c r="I96" t="s">
        <v>269</v>
      </c>
      <c r="J96" t="s">
        <v>269</v>
      </c>
      <c r="K96" t="s">
        <v>269</v>
      </c>
      <c r="L96" t="s">
        <v>269</v>
      </c>
      <c r="M96" t="s">
        <v>269</v>
      </c>
      <c r="N96" t="s">
        <v>269</v>
      </c>
      <c r="O96" t="s">
        <v>203</v>
      </c>
      <c r="P96" t="s">
        <v>203</v>
      </c>
      <c r="Q96" t="s">
        <v>203</v>
      </c>
      <c r="R96" t="s">
        <v>203</v>
      </c>
      <c r="S96" t="s">
        <v>203</v>
      </c>
      <c r="T96" t="s">
        <v>203</v>
      </c>
      <c r="U96" t="s">
        <v>203</v>
      </c>
      <c r="V96" t="s">
        <v>203</v>
      </c>
      <c r="W96" t="s">
        <v>203</v>
      </c>
      <c r="X96" t="s">
        <v>203</v>
      </c>
      <c r="Y96" t="s">
        <v>203</v>
      </c>
      <c r="Z96" t="s">
        <v>203</v>
      </c>
      <c r="AA96" t="s">
        <v>203</v>
      </c>
      <c r="AB96" t="s">
        <v>203</v>
      </c>
      <c r="AC96" t="s">
        <v>203</v>
      </c>
      <c r="AD96" t="s">
        <v>203</v>
      </c>
      <c r="AE96" t="s">
        <v>203</v>
      </c>
      <c r="AF96" t="s">
        <v>203</v>
      </c>
      <c r="AG96" t="s">
        <v>203</v>
      </c>
      <c r="AH96" t="s">
        <v>203</v>
      </c>
    </row>
    <row r="97" spans="1:34">
      <c r="A97" s="6" t="s">
        <v>272</v>
      </c>
      <c r="B97" s="7" t="s">
        <v>4</v>
      </c>
      <c r="C97" s="7" t="s">
        <v>57</v>
      </c>
      <c r="D97" t="s">
        <v>58</v>
      </c>
      <c r="G97" t="s">
        <v>269</v>
      </c>
      <c r="H97" t="s">
        <v>269</v>
      </c>
      <c r="I97" t="s">
        <v>269</v>
      </c>
      <c r="J97" t="s">
        <v>269</v>
      </c>
      <c r="K97" t="s">
        <v>269</v>
      </c>
      <c r="L97" t="s">
        <v>269</v>
      </c>
      <c r="M97" t="s">
        <v>269</v>
      </c>
      <c r="N97" t="s">
        <v>269</v>
      </c>
      <c r="O97" t="s">
        <v>269</v>
      </c>
      <c r="P97" t="s">
        <v>273</v>
      </c>
      <c r="Q97" t="s">
        <v>273</v>
      </c>
      <c r="R97" t="s">
        <v>273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 s="6" t="s">
        <v>274</v>
      </c>
      <c r="B98" s="7" t="s">
        <v>4</v>
      </c>
      <c r="C98" s="7" t="s">
        <v>57</v>
      </c>
      <c r="D98" t="s">
        <v>58</v>
      </c>
      <c r="G98" t="s">
        <v>203</v>
      </c>
      <c r="H98" t="s">
        <v>203</v>
      </c>
      <c r="I98" t="s">
        <v>203</v>
      </c>
      <c r="J98" t="s">
        <v>203</v>
      </c>
      <c r="K98" t="s">
        <v>203</v>
      </c>
      <c r="L98" t="s">
        <v>203</v>
      </c>
      <c r="M98" t="s">
        <v>203</v>
      </c>
      <c r="N98" t="s">
        <v>203</v>
      </c>
      <c r="O98" t="s">
        <v>203</v>
      </c>
      <c r="P98" t="s">
        <v>203</v>
      </c>
      <c r="Q98" t="s">
        <v>203</v>
      </c>
      <c r="R98" t="s">
        <v>203</v>
      </c>
      <c r="S98" t="s">
        <v>203</v>
      </c>
      <c r="T98" t="s">
        <v>203</v>
      </c>
      <c r="U98" t="s">
        <v>275</v>
      </c>
      <c r="V98" t="s">
        <v>203</v>
      </c>
      <c r="W98" t="s">
        <v>203</v>
      </c>
      <c r="X98" t="s">
        <v>275</v>
      </c>
      <c r="Y98" t="s">
        <v>203</v>
      </c>
      <c r="Z98" t="s">
        <v>203</v>
      </c>
      <c r="AA98" t="s">
        <v>275</v>
      </c>
      <c r="AB98" t="s">
        <v>203</v>
      </c>
      <c r="AC98" t="s">
        <v>203</v>
      </c>
      <c r="AD98" t="s">
        <v>275</v>
      </c>
      <c r="AE98" t="s">
        <v>203</v>
      </c>
      <c r="AF98" t="s">
        <v>203</v>
      </c>
      <c r="AG98" t="s">
        <v>203</v>
      </c>
      <c r="AH98" t="s">
        <v>203</v>
      </c>
    </row>
    <row r="99" spans="1:34">
      <c r="A99" s="6" t="s">
        <v>276</v>
      </c>
      <c r="B99" s="7" t="s">
        <v>4</v>
      </c>
      <c r="C99" s="7" t="s">
        <v>23</v>
      </c>
      <c r="D99" t="s">
        <v>58</v>
      </c>
      <c r="G99" t="s">
        <v>203</v>
      </c>
      <c r="H99" t="s">
        <v>203</v>
      </c>
      <c r="I99" t="s">
        <v>203</v>
      </c>
      <c r="J99" t="s">
        <v>203</v>
      </c>
      <c r="K99" t="s">
        <v>203</v>
      </c>
      <c r="L99" t="s">
        <v>203</v>
      </c>
      <c r="M99" t="s">
        <v>203</v>
      </c>
      <c r="N99" t="s">
        <v>203</v>
      </c>
      <c r="O99" t="s">
        <v>203</v>
      </c>
      <c r="P99" t="s">
        <v>203</v>
      </c>
      <c r="Q99" t="s">
        <v>203</v>
      </c>
      <c r="R99" t="s">
        <v>203</v>
      </c>
      <c r="S99" t="s">
        <v>203</v>
      </c>
      <c r="T99" t="s">
        <v>203</v>
      </c>
      <c r="U99" t="s">
        <v>277</v>
      </c>
      <c r="V99" t="s">
        <v>203</v>
      </c>
      <c r="W99" t="s">
        <v>203</v>
      </c>
      <c r="X99" t="s">
        <v>277</v>
      </c>
      <c r="Y99" t="s">
        <v>203</v>
      </c>
      <c r="Z99" t="s">
        <v>203</v>
      </c>
      <c r="AA99" t="s">
        <v>277</v>
      </c>
      <c r="AB99" t="s">
        <v>203</v>
      </c>
      <c r="AC99" t="s">
        <v>203</v>
      </c>
      <c r="AD99" t="s">
        <v>277</v>
      </c>
      <c r="AE99" t="s">
        <v>203</v>
      </c>
      <c r="AF99" t="s">
        <v>203</v>
      </c>
      <c r="AG99" t="s">
        <v>203</v>
      </c>
      <c r="AH99" t="s">
        <v>203</v>
      </c>
    </row>
    <row r="100" spans="1:34">
      <c r="A100" s="6" t="s">
        <v>278</v>
      </c>
      <c r="B100" s="7" t="s">
        <v>4</v>
      </c>
      <c r="C100" s="7" t="s">
        <v>57</v>
      </c>
      <c r="D100" t="s">
        <v>58</v>
      </c>
      <c r="G100" t="s">
        <v>279</v>
      </c>
      <c r="H100" t="s">
        <v>279</v>
      </c>
      <c r="I100" t="s">
        <v>279</v>
      </c>
      <c r="J100" t="s">
        <v>279</v>
      </c>
      <c r="K100" t="s">
        <v>279</v>
      </c>
      <c r="L100" t="s">
        <v>279</v>
      </c>
      <c r="M100" t="s">
        <v>279</v>
      </c>
      <c r="N100" t="s">
        <v>279</v>
      </c>
      <c r="O100" t="s">
        <v>280</v>
      </c>
      <c r="P100" t="s">
        <v>262</v>
      </c>
      <c r="Q100" t="s">
        <v>281</v>
      </c>
      <c r="R100" t="s">
        <v>282</v>
      </c>
      <c r="S100" t="s">
        <v>282</v>
      </c>
      <c r="T100" t="s">
        <v>282</v>
      </c>
      <c r="U100" t="s">
        <v>282</v>
      </c>
      <c r="V100" t="s">
        <v>282</v>
      </c>
      <c r="W100" t="s">
        <v>282</v>
      </c>
      <c r="X100" t="s">
        <v>282</v>
      </c>
      <c r="Y100" t="s">
        <v>282</v>
      </c>
      <c r="Z100" t="s">
        <v>282</v>
      </c>
      <c r="AA100" t="s">
        <v>282</v>
      </c>
      <c r="AB100" t="s">
        <v>282</v>
      </c>
      <c r="AC100" t="s">
        <v>282</v>
      </c>
      <c r="AD100" t="s">
        <v>282</v>
      </c>
      <c r="AE100" t="s">
        <v>283</v>
      </c>
      <c r="AF100" t="s">
        <v>284</v>
      </c>
      <c r="AG100" t="s">
        <v>283</v>
      </c>
      <c r="AH100" t="s">
        <v>283</v>
      </c>
    </row>
    <row r="101" customFormat="1" spans="1:34">
      <c r="A101" s="6" t="s">
        <v>285</v>
      </c>
      <c r="B101" s="7" t="s">
        <v>4</v>
      </c>
      <c r="C101" s="7" t="s">
        <v>57</v>
      </c>
      <c r="D101" t="s">
        <v>58</v>
      </c>
      <c r="E101"/>
      <c r="F101" s="1"/>
      <c r="G101" t="s">
        <v>203</v>
      </c>
      <c r="H101" t="s">
        <v>203</v>
      </c>
      <c r="I101" t="s">
        <v>203</v>
      </c>
      <c r="J101" t="s">
        <v>203</v>
      </c>
      <c r="K101" t="s">
        <v>203</v>
      </c>
      <c r="L101" t="s">
        <v>203</v>
      </c>
      <c r="M101" t="s">
        <v>203</v>
      </c>
      <c r="N101" t="s">
        <v>203</v>
      </c>
      <c r="O101" t="s">
        <v>203</v>
      </c>
      <c r="P101" t="s">
        <v>203</v>
      </c>
      <c r="Q101" t="s">
        <v>203</v>
      </c>
      <c r="R101" t="s">
        <v>203</v>
      </c>
      <c r="S101" t="s">
        <v>286</v>
      </c>
      <c r="T101" t="s">
        <v>286</v>
      </c>
      <c r="U101" t="s">
        <v>286</v>
      </c>
      <c r="V101" t="s">
        <v>286</v>
      </c>
      <c r="W101" t="s">
        <v>286</v>
      </c>
      <c r="X101" t="s">
        <v>286</v>
      </c>
      <c r="Y101" t="s">
        <v>203</v>
      </c>
      <c r="Z101" t="s">
        <v>203</v>
      </c>
      <c r="AA101" t="s">
        <v>203</v>
      </c>
      <c r="AB101" t="s">
        <v>203</v>
      </c>
      <c r="AC101" t="s">
        <v>203</v>
      </c>
      <c r="AD101" t="s">
        <v>203</v>
      </c>
      <c r="AE101" t="s">
        <v>287</v>
      </c>
      <c r="AF101" t="s">
        <v>287</v>
      </c>
      <c r="AG101" t="s">
        <v>287</v>
      </c>
      <c r="AH101" t="s">
        <v>287</v>
      </c>
    </row>
    <row r="102" ht="27" spans="1:34">
      <c r="A102" s="6" t="s">
        <v>288</v>
      </c>
      <c r="B102" s="7" t="s">
        <v>4</v>
      </c>
      <c r="C102" s="7" t="s">
        <v>57</v>
      </c>
      <c r="D102" t="s">
        <v>58</v>
      </c>
      <c r="G102" t="s">
        <v>203</v>
      </c>
      <c r="H102" t="s">
        <v>203</v>
      </c>
      <c r="I102" t="s">
        <v>203</v>
      </c>
      <c r="J102" t="s">
        <v>203</v>
      </c>
      <c r="K102" t="s">
        <v>203</v>
      </c>
      <c r="L102" t="s">
        <v>203</v>
      </c>
      <c r="M102" t="s">
        <v>203</v>
      </c>
      <c r="N102" t="s">
        <v>203</v>
      </c>
      <c r="O102" t="s">
        <v>203</v>
      </c>
      <c r="P102" t="s">
        <v>203</v>
      </c>
      <c r="Q102" t="s">
        <v>203</v>
      </c>
      <c r="R102" t="s">
        <v>289</v>
      </c>
      <c r="S102" t="s">
        <v>289</v>
      </c>
      <c r="T102" t="s">
        <v>289</v>
      </c>
      <c r="U102" t="s">
        <v>289</v>
      </c>
      <c r="V102" t="s">
        <v>290</v>
      </c>
      <c r="W102" t="s">
        <v>290</v>
      </c>
      <c r="X102" t="s">
        <v>290</v>
      </c>
      <c r="Y102" t="s">
        <v>289</v>
      </c>
      <c r="Z102" t="s">
        <v>289</v>
      </c>
      <c r="AA102" t="s">
        <v>289</v>
      </c>
      <c r="AB102" t="s">
        <v>291</v>
      </c>
      <c r="AC102" t="s">
        <v>291</v>
      </c>
      <c r="AD102" t="s">
        <v>291</v>
      </c>
      <c r="AE102" t="s">
        <v>291</v>
      </c>
      <c r="AF102" t="s">
        <v>289</v>
      </c>
      <c r="AG102" t="s">
        <v>289</v>
      </c>
      <c r="AH102" t="s">
        <v>291</v>
      </c>
    </row>
    <row r="103" spans="1:34">
      <c r="A103" s="6" t="s">
        <v>292</v>
      </c>
      <c r="B103" s="7" t="s">
        <v>4</v>
      </c>
      <c r="C103" s="7" t="s">
        <v>57</v>
      </c>
      <c r="D103" t="s">
        <v>58</v>
      </c>
      <c r="G103" t="s">
        <v>203</v>
      </c>
      <c r="H103" t="s">
        <v>203</v>
      </c>
      <c r="I103" t="s">
        <v>203</v>
      </c>
      <c r="J103" t="s">
        <v>203</v>
      </c>
      <c r="K103" t="s">
        <v>203</v>
      </c>
      <c r="L103" t="s">
        <v>203</v>
      </c>
      <c r="M103" t="s">
        <v>203</v>
      </c>
      <c r="N103" t="s">
        <v>203</v>
      </c>
      <c r="O103" t="s">
        <v>203</v>
      </c>
      <c r="P103" t="s">
        <v>293</v>
      </c>
      <c r="Q103" t="s">
        <v>294</v>
      </c>
      <c r="R103" t="s">
        <v>294</v>
      </c>
      <c r="S103" t="s">
        <v>295</v>
      </c>
      <c r="T103" t="s">
        <v>295</v>
      </c>
      <c r="U103" t="s">
        <v>295</v>
      </c>
      <c r="V103" t="s">
        <v>295</v>
      </c>
      <c r="W103" t="s">
        <v>295</v>
      </c>
      <c r="X103" t="s">
        <v>295</v>
      </c>
      <c r="Y103" t="s">
        <v>296</v>
      </c>
      <c r="Z103" t="s">
        <v>296</v>
      </c>
      <c r="AA103" t="s">
        <v>296</v>
      </c>
      <c r="AB103" t="s">
        <v>297</v>
      </c>
      <c r="AC103" t="s">
        <v>297</v>
      </c>
      <c r="AD103" t="s">
        <v>297</v>
      </c>
      <c r="AE103" t="s">
        <v>298</v>
      </c>
      <c r="AF103" t="s">
        <v>298</v>
      </c>
      <c r="AG103" t="s">
        <v>299</v>
      </c>
      <c r="AH103" t="s">
        <v>298</v>
      </c>
    </row>
    <row r="104" spans="1:34">
      <c r="A104" s="6" t="s">
        <v>300</v>
      </c>
      <c r="B104" s="7" t="s">
        <v>4</v>
      </c>
      <c r="C104" s="7" t="s">
        <v>57</v>
      </c>
      <c r="D104" t="s">
        <v>58</v>
      </c>
      <c r="G104" t="s">
        <v>203</v>
      </c>
      <c r="H104" t="s">
        <v>203</v>
      </c>
      <c r="I104" t="s">
        <v>203</v>
      </c>
      <c r="J104" t="s">
        <v>203</v>
      </c>
      <c r="K104" t="s">
        <v>203</v>
      </c>
      <c r="L104" t="s">
        <v>203</v>
      </c>
      <c r="M104" t="s">
        <v>203</v>
      </c>
      <c r="N104" t="s">
        <v>203</v>
      </c>
      <c r="O104" t="s">
        <v>203</v>
      </c>
      <c r="P104" t="s">
        <v>301</v>
      </c>
      <c r="Q104" t="s">
        <v>302</v>
      </c>
      <c r="R104" t="s">
        <v>302</v>
      </c>
      <c r="S104" t="s">
        <v>194</v>
      </c>
      <c r="T104" t="s">
        <v>194</v>
      </c>
      <c r="U104" t="s">
        <v>194</v>
      </c>
      <c r="V104" t="s">
        <v>194</v>
      </c>
      <c r="W104" t="s">
        <v>194</v>
      </c>
      <c r="X104" t="s">
        <v>194</v>
      </c>
      <c r="Y104" t="s">
        <v>194</v>
      </c>
      <c r="Z104" t="s">
        <v>194</v>
      </c>
      <c r="AA104" t="s">
        <v>194</v>
      </c>
      <c r="AB104" t="s">
        <v>194</v>
      </c>
      <c r="AC104" t="s">
        <v>194</v>
      </c>
      <c r="AD104" t="s">
        <v>194</v>
      </c>
      <c r="AE104" t="s">
        <v>194</v>
      </c>
      <c r="AF104" t="s">
        <v>194</v>
      </c>
      <c r="AG104" t="s">
        <v>303</v>
      </c>
      <c r="AH104" t="s">
        <v>194</v>
      </c>
    </row>
    <row r="105" spans="1:34">
      <c r="A105" s="6" t="s">
        <v>304</v>
      </c>
      <c r="B105" s="7" t="s">
        <v>4</v>
      </c>
      <c r="C105" s="7" t="s">
        <v>57</v>
      </c>
      <c r="D105" t="s">
        <v>58</v>
      </c>
      <c r="G105" t="s">
        <v>203</v>
      </c>
      <c r="H105" t="s">
        <v>203</v>
      </c>
      <c r="I105" t="s">
        <v>203</v>
      </c>
      <c r="J105" t="s">
        <v>203</v>
      </c>
      <c r="K105" t="s">
        <v>203</v>
      </c>
      <c r="L105" t="s">
        <v>203</v>
      </c>
      <c r="M105" t="s">
        <v>203</v>
      </c>
      <c r="N105" t="s">
        <v>203</v>
      </c>
      <c r="O105" t="s">
        <v>203</v>
      </c>
      <c r="P105" t="s">
        <v>119</v>
      </c>
      <c r="Q105" t="s">
        <v>230</v>
      </c>
      <c r="R105" t="s">
        <v>230</v>
      </c>
      <c r="S105" t="s">
        <v>262</v>
      </c>
      <c r="T105" t="s">
        <v>262</v>
      </c>
      <c r="U105" t="s">
        <v>262</v>
      </c>
      <c r="V105" t="s">
        <v>262</v>
      </c>
      <c r="W105" t="s">
        <v>262</v>
      </c>
      <c r="X105" t="s">
        <v>262</v>
      </c>
      <c r="Y105" t="s">
        <v>262</v>
      </c>
      <c r="Z105" t="s">
        <v>262</v>
      </c>
      <c r="AA105" t="s">
        <v>262</v>
      </c>
      <c r="AB105" t="s">
        <v>262</v>
      </c>
      <c r="AC105" t="s">
        <v>262</v>
      </c>
      <c r="AD105" t="s">
        <v>262</v>
      </c>
      <c r="AE105" t="s">
        <v>305</v>
      </c>
      <c r="AF105" t="s">
        <v>305</v>
      </c>
      <c r="AG105" t="s">
        <v>306</v>
      </c>
      <c r="AH105" t="s">
        <v>305</v>
      </c>
    </row>
    <row r="106" spans="1:34">
      <c r="A106" s="6" t="s">
        <v>307</v>
      </c>
      <c r="B106" s="7" t="s">
        <v>4</v>
      </c>
      <c r="C106" s="7" t="s">
        <v>57</v>
      </c>
      <c r="D106" t="s">
        <v>58</v>
      </c>
      <c r="G106" t="s">
        <v>269</v>
      </c>
      <c r="H106" t="s">
        <v>269</v>
      </c>
      <c r="I106" t="s">
        <v>269</v>
      </c>
      <c r="J106" t="s">
        <v>269</v>
      </c>
      <c r="K106" t="s">
        <v>269</v>
      </c>
      <c r="L106" t="s">
        <v>269</v>
      </c>
      <c r="M106" t="s">
        <v>269</v>
      </c>
      <c r="N106" t="s">
        <v>269</v>
      </c>
      <c r="O106" t="s">
        <v>269</v>
      </c>
      <c r="P106" t="s">
        <v>269</v>
      </c>
      <c r="Q106" t="s">
        <v>269</v>
      </c>
      <c r="R106" t="s">
        <v>269</v>
      </c>
      <c r="S106" t="s">
        <v>269</v>
      </c>
      <c r="T106" t="s">
        <v>269</v>
      </c>
      <c r="U106" t="s">
        <v>269</v>
      </c>
      <c r="V106" t="s">
        <v>269</v>
      </c>
      <c r="W106" t="s">
        <v>269</v>
      </c>
      <c r="X106" t="s">
        <v>269</v>
      </c>
      <c r="Y106" t="s">
        <v>269</v>
      </c>
      <c r="Z106" t="s">
        <v>269</v>
      </c>
      <c r="AA106" t="s">
        <v>269</v>
      </c>
      <c r="AB106" t="s">
        <v>269</v>
      </c>
      <c r="AC106" t="s">
        <v>269</v>
      </c>
      <c r="AD106" t="s">
        <v>269</v>
      </c>
      <c r="AE106" t="s">
        <v>269</v>
      </c>
      <c r="AF106" t="s">
        <v>269</v>
      </c>
      <c r="AG106" t="s">
        <v>269</v>
      </c>
      <c r="AH106" t="s">
        <v>269</v>
      </c>
    </row>
    <row r="107" spans="1:34">
      <c r="A107" s="6" t="s">
        <v>308</v>
      </c>
      <c r="B107" s="7" t="s">
        <v>4</v>
      </c>
      <c r="C107" s="7" t="s">
        <v>57</v>
      </c>
      <c r="D107" t="s">
        <v>58</v>
      </c>
      <c r="G107" t="s">
        <v>203</v>
      </c>
      <c r="H107" t="s">
        <v>203</v>
      </c>
      <c r="I107" t="s">
        <v>203</v>
      </c>
      <c r="J107" t="s">
        <v>203</v>
      </c>
      <c r="K107" t="s">
        <v>203</v>
      </c>
      <c r="L107" t="s">
        <v>203</v>
      </c>
      <c r="M107" t="s">
        <v>203</v>
      </c>
      <c r="N107" t="s">
        <v>203</v>
      </c>
      <c r="O107" t="s">
        <v>203</v>
      </c>
      <c r="P107" t="s">
        <v>262</v>
      </c>
      <c r="Q107" t="s">
        <v>262</v>
      </c>
      <c r="R107" t="s">
        <v>262</v>
      </c>
      <c r="S107" t="s">
        <v>203</v>
      </c>
      <c r="T107" t="s">
        <v>203</v>
      </c>
      <c r="U107" t="s">
        <v>203</v>
      </c>
      <c r="V107" t="s">
        <v>203</v>
      </c>
      <c r="W107" t="s">
        <v>203</v>
      </c>
      <c r="X107" t="s">
        <v>203</v>
      </c>
      <c r="Y107" t="s">
        <v>203</v>
      </c>
      <c r="Z107" t="s">
        <v>203</v>
      </c>
      <c r="AA107" t="s">
        <v>203</v>
      </c>
      <c r="AB107" t="s">
        <v>203</v>
      </c>
      <c r="AC107" t="s">
        <v>203</v>
      </c>
      <c r="AD107" t="s">
        <v>203</v>
      </c>
      <c r="AE107" t="s">
        <v>203</v>
      </c>
      <c r="AF107" t="s">
        <v>203</v>
      </c>
      <c r="AG107" t="s">
        <v>203</v>
      </c>
      <c r="AH107" t="s">
        <v>203</v>
      </c>
    </row>
    <row r="108" spans="1:34">
      <c r="A108" s="6" t="s">
        <v>309</v>
      </c>
      <c r="B108" s="7" t="s">
        <v>4</v>
      </c>
      <c r="C108" s="7" t="s">
        <v>57</v>
      </c>
      <c r="D108" t="s">
        <v>58</v>
      </c>
      <c r="G108" t="s">
        <v>203</v>
      </c>
      <c r="H108" t="s">
        <v>203</v>
      </c>
      <c r="I108" t="s">
        <v>203</v>
      </c>
      <c r="J108" t="s">
        <v>203</v>
      </c>
      <c r="K108" t="s">
        <v>203</v>
      </c>
      <c r="L108" t="s">
        <v>203</v>
      </c>
      <c r="M108" t="s">
        <v>203</v>
      </c>
      <c r="N108" t="s">
        <v>203</v>
      </c>
      <c r="O108" t="s">
        <v>203</v>
      </c>
      <c r="P108" t="s">
        <v>203</v>
      </c>
      <c r="Q108" t="s">
        <v>203</v>
      </c>
      <c r="R108" t="s">
        <v>262</v>
      </c>
      <c r="S108" t="s">
        <v>203</v>
      </c>
      <c r="T108" t="s">
        <v>203</v>
      </c>
      <c r="U108" t="s">
        <v>203</v>
      </c>
      <c r="V108" t="s">
        <v>262</v>
      </c>
      <c r="W108" t="s">
        <v>262</v>
      </c>
      <c r="X108" t="s">
        <v>262</v>
      </c>
      <c r="Y108" t="s">
        <v>203</v>
      </c>
      <c r="Z108" t="s">
        <v>203</v>
      </c>
      <c r="AA108" t="s">
        <v>203</v>
      </c>
      <c r="AB108" t="s">
        <v>262</v>
      </c>
      <c r="AC108" t="s">
        <v>262</v>
      </c>
      <c r="AD108" t="s">
        <v>262</v>
      </c>
      <c r="AE108" t="s">
        <v>269</v>
      </c>
      <c r="AF108" t="s">
        <v>203</v>
      </c>
      <c r="AG108" t="s">
        <v>203</v>
      </c>
      <c r="AH108" t="s">
        <v>269</v>
      </c>
    </row>
    <row r="109" spans="1:34">
      <c r="A109" s="6" t="s">
        <v>310</v>
      </c>
      <c r="B109" s="7" t="s">
        <v>4</v>
      </c>
      <c r="C109" s="7" t="s">
        <v>57</v>
      </c>
      <c r="D109" t="s">
        <v>58</v>
      </c>
      <c r="G109" t="s">
        <v>203</v>
      </c>
      <c r="H109" t="s">
        <v>203</v>
      </c>
      <c r="I109" t="s">
        <v>203</v>
      </c>
      <c r="J109" t="s">
        <v>203</v>
      </c>
      <c r="K109" t="s">
        <v>203</v>
      </c>
      <c r="L109" t="s">
        <v>203</v>
      </c>
      <c r="M109" t="s">
        <v>203</v>
      </c>
      <c r="N109" t="s">
        <v>203</v>
      </c>
      <c r="O109" t="s">
        <v>203</v>
      </c>
      <c r="P109" t="s">
        <v>203</v>
      </c>
      <c r="Q109" t="s">
        <v>203</v>
      </c>
      <c r="R109" t="s">
        <v>262</v>
      </c>
      <c r="S109" t="s">
        <v>203</v>
      </c>
      <c r="T109" t="s">
        <v>203</v>
      </c>
      <c r="U109" t="s">
        <v>203</v>
      </c>
      <c r="V109" t="s">
        <v>262</v>
      </c>
      <c r="W109" t="s">
        <v>262</v>
      </c>
      <c r="X109" t="s">
        <v>262</v>
      </c>
      <c r="Y109" t="s">
        <v>203</v>
      </c>
      <c r="Z109" t="s">
        <v>203</v>
      </c>
      <c r="AA109" t="s">
        <v>203</v>
      </c>
      <c r="AB109" t="s">
        <v>262</v>
      </c>
      <c r="AC109" t="s">
        <v>262</v>
      </c>
      <c r="AD109" t="s">
        <v>262</v>
      </c>
      <c r="AE109" t="s">
        <v>269</v>
      </c>
      <c r="AF109" t="s">
        <v>203</v>
      </c>
      <c r="AG109" t="s">
        <v>203</v>
      </c>
      <c r="AH109" t="s">
        <v>269</v>
      </c>
    </row>
    <row r="110" spans="1:34">
      <c r="A110" s="6" t="s">
        <v>311</v>
      </c>
      <c r="B110" s="7" t="s">
        <v>4</v>
      </c>
      <c r="C110" s="7" t="s">
        <v>57</v>
      </c>
      <c r="D110" t="s">
        <v>58</v>
      </c>
      <c r="G110" t="s">
        <v>203</v>
      </c>
      <c r="H110" t="s">
        <v>203</v>
      </c>
      <c r="I110" t="s">
        <v>203</v>
      </c>
      <c r="J110" t="s">
        <v>203</v>
      </c>
      <c r="K110" t="s">
        <v>203</v>
      </c>
      <c r="L110" t="s">
        <v>203</v>
      </c>
      <c r="M110" t="s">
        <v>203</v>
      </c>
      <c r="N110" t="s">
        <v>203</v>
      </c>
      <c r="O110" t="s">
        <v>203</v>
      </c>
      <c r="P110" t="s">
        <v>203</v>
      </c>
      <c r="Q110" t="s">
        <v>203</v>
      </c>
      <c r="R110" t="s">
        <v>203</v>
      </c>
      <c r="S110" t="s">
        <v>180</v>
      </c>
      <c r="T110" t="s">
        <v>180</v>
      </c>
      <c r="U110" t="s">
        <v>203</v>
      </c>
      <c r="V110" t="s">
        <v>180</v>
      </c>
      <c r="W110" t="s">
        <v>180</v>
      </c>
      <c r="X110" t="s">
        <v>203</v>
      </c>
      <c r="Y110" t="s">
        <v>312</v>
      </c>
      <c r="Z110" t="s">
        <v>312</v>
      </c>
      <c r="AA110" t="s">
        <v>203</v>
      </c>
      <c r="AB110" t="s">
        <v>312</v>
      </c>
      <c r="AC110" t="s">
        <v>312</v>
      </c>
      <c r="AD110" t="s">
        <v>203</v>
      </c>
      <c r="AE110" t="s">
        <v>203</v>
      </c>
      <c r="AF110" t="s">
        <v>203</v>
      </c>
      <c r="AG110" t="s">
        <v>203</v>
      </c>
      <c r="AH110" t="s">
        <v>203</v>
      </c>
    </row>
    <row r="111" spans="1:34">
      <c r="A111" s="6" t="s">
        <v>313</v>
      </c>
      <c r="B111" s="7" t="s">
        <v>4</v>
      </c>
      <c r="C111" s="7" t="s">
        <v>57</v>
      </c>
      <c r="D111" t="s">
        <v>58</v>
      </c>
      <c r="G111" t="s">
        <v>203</v>
      </c>
      <c r="H111" t="s">
        <v>203</v>
      </c>
      <c r="I111" t="s">
        <v>203</v>
      </c>
      <c r="J111" t="s">
        <v>203</v>
      </c>
      <c r="K111" t="s">
        <v>203</v>
      </c>
      <c r="L111" t="s">
        <v>203</v>
      </c>
      <c r="M111" t="s">
        <v>203</v>
      </c>
      <c r="N111" t="s">
        <v>203</v>
      </c>
      <c r="O111" t="s">
        <v>203</v>
      </c>
      <c r="P111" t="s">
        <v>203</v>
      </c>
      <c r="Q111" t="s">
        <v>203</v>
      </c>
      <c r="R111" t="s">
        <v>203</v>
      </c>
      <c r="S111" t="s">
        <v>180</v>
      </c>
      <c r="T111" t="s">
        <v>180</v>
      </c>
      <c r="U111" t="s">
        <v>203</v>
      </c>
      <c r="V111" t="s">
        <v>180</v>
      </c>
      <c r="W111" t="s">
        <v>180</v>
      </c>
      <c r="X111" t="s">
        <v>203</v>
      </c>
      <c r="Y111" t="s">
        <v>203</v>
      </c>
      <c r="Z111" t="s">
        <v>203</v>
      </c>
      <c r="AA111" t="s">
        <v>203</v>
      </c>
      <c r="AB111" t="s">
        <v>203</v>
      </c>
      <c r="AC111" t="s">
        <v>203</v>
      </c>
      <c r="AD111" t="s">
        <v>203</v>
      </c>
      <c r="AE111" t="s">
        <v>203</v>
      </c>
      <c r="AF111" t="s">
        <v>203</v>
      </c>
      <c r="AG111" t="s">
        <v>203</v>
      </c>
      <c r="AH111" t="s">
        <v>203</v>
      </c>
    </row>
    <row r="112" spans="1:34">
      <c r="A112" s="6" t="s">
        <v>314</v>
      </c>
      <c r="B112" s="7" t="s">
        <v>4</v>
      </c>
      <c r="C112" s="7" t="s">
        <v>57</v>
      </c>
      <c r="D112" t="s">
        <v>58</v>
      </c>
      <c r="G112" t="s">
        <v>203</v>
      </c>
      <c r="H112" t="s">
        <v>203</v>
      </c>
      <c r="I112" t="s">
        <v>203</v>
      </c>
      <c r="J112" t="s">
        <v>203</v>
      </c>
      <c r="K112" t="s">
        <v>203</v>
      </c>
      <c r="L112" t="s">
        <v>203</v>
      </c>
      <c r="M112" t="s">
        <v>203</v>
      </c>
      <c r="N112" t="s">
        <v>203</v>
      </c>
      <c r="O112" t="s">
        <v>203</v>
      </c>
      <c r="P112" t="s">
        <v>203</v>
      </c>
      <c r="Q112" t="s">
        <v>203</v>
      </c>
      <c r="R112" t="s">
        <v>203</v>
      </c>
      <c r="S112" t="s">
        <v>203</v>
      </c>
      <c r="T112" t="s">
        <v>203</v>
      </c>
      <c r="U112" t="s">
        <v>203</v>
      </c>
      <c r="V112" t="s">
        <v>203</v>
      </c>
      <c r="W112" t="s">
        <v>203</v>
      </c>
      <c r="X112" t="s">
        <v>203</v>
      </c>
      <c r="Y112" t="s">
        <v>203</v>
      </c>
      <c r="Z112" t="s">
        <v>203</v>
      </c>
      <c r="AA112" t="s">
        <v>203</v>
      </c>
      <c r="AB112" t="s">
        <v>203</v>
      </c>
      <c r="AC112" t="s">
        <v>203</v>
      </c>
      <c r="AD112" t="s">
        <v>203</v>
      </c>
      <c r="AE112" t="s">
        <v>203</v>
      </c>
      <c r="AF112" t="s">
        <v>203</v>
      </c>
      <c r="AG112" t="s">
        <v>315</v>
      </c>
      <c r="AH112" t="s">
        <v>203</v>
      </c>
    </row>
    <row r="113" spans="1:34">
      <c r="A113" s="6" t="s">
        <v>316</v>
      </c>
      <c r="B113" s="7" t="s">
        <v>4</v>
      </c>
      <c r="C113" s="7" t="s">
        <v>57</v>
      </c>
      <c r="D113" t="s">
        <v>58</v>
      </c>
      <c r="G113" t="s">
        <v>203</v>
      </c>
      <c r="H113" t="s">
        <v>203</v>
      </c>
      <c r="I113" t="s">
        <v>203</v>
      </c>
      <c r="J113" t="s">
        <v>203</v>
      </c>
      <c r="K113" t="s">
        <v>203</v>
      </c>
      <c r="L113" t="s">
        <v>203</v>
      </c>
      <c r="M113" t="s">
        <v>203</v>
      </c>
      <c r="N113" t="s">
        <v>203</v>
      </c>
      <c r="O113" t="s">
        <v>203</v>
      </c>
      <c r="P113" t="s">
        <v>203</v>
      </c>
      <c r="Q113" t="s">
        <v>203</v>
      </c>
      <c r="R113" t="s">
        <v>203</v>
      </c>
      <c r="S113" t="s">
        <v>203</v>
      </c>
      <c r="T113" t="s">
        <v>203</v>
      </c>
      <c r="U113" t="s">
        <v>203</v>
      </c>
      <c r="V113" t="s">
        <v>203</v>
      </c>
      <c r="W113" t="s">
        <v>203</v>
      </c>
      <c r="X113" t="s">
        <v>203</v>
      </c>
      <c r="Y113" t="s">
        <v>203</v>
      </c>
      <c r="Z113" t="s">
        <v>203</v>
      </c>
      <c r="AA113" t="s">
        <v>203</v>
      </c>
      <c r="AB113" t="s">
        <v>203</v>
      </c>
      <c r="AC113" t="s">
        <v>203</v>
      </c>
      <c r="AD113" t="s">
        <v>203</v>
      </c>
      <c r="AE113" t="s">
        <v>312</v>
      </c>
      <c r="AF113" t="s">
        <v>312</v>
      </c>
      <c r="AG113" t="s">
        <v>312</v>
      </c>
      <c r="AH113" t="s">
        <v>312</v>
      </c>
    </row>
    <row r="114" spans="1:34">
      <c r="A114" s="6" t="s">
        <v>4</v>
      </c>
      <c r="B114" s="7" t="s">
        <v>4</v>
      </c>
      <c r="C114" s="7" t="s">
        <v>4</v>
      </c>
      <c r="G114" t="s">
        <v>4</v>
      </c>
      <c r="H114" t="s">
        <v>4</v>
      </c>
      <c r="I114" t="s">
        <v>4</v>
      </c>
      <c r="J114" t="s">
        <v>4</v>
      </c>
      <c r="K114" t="s">
        <v>4</v>
      </c>
      <c r="L114" t="s">
        <v>4</v>
      </c>
      <c r="M114" t="s">
        <v>4</v>
      </c>
      <c r="N114" t="s">
        <v>4</v>
      </c>
      <c r="O114" t="s">
        <v>4</v>
      </c>
      <c r="P114" t="s">
        <v>4</v>
      </c>
      <c r="Q114" t="s">
        <v>4</v>
      </c>
      <c r="R114" t="s">
        <v>4</v>
      </c>
      <c r="S114" t="s">
        <v>4</v>
      </c>
      <c r="T114" t="s">
        <v>4</v>
      </c>
      <c r="U114" t="s">
        <v>4</v>
      </c>
      <c r="V114" t="s">
        <v>4</v>
      </c>
      <c r="W114" t="s">
        <v>4</v>
      </c>
      <c r="X114" t="s">
        <v>4</v>
      </c>
      <c r="Y114" t="s">
        <v>4</v>
      </c>
      <c r="Z114" t="s">
        <v>4</v>
      </c>
      <c r="AA114" t="s">
        <v>4</v>
      </c>
      <c r="AB114" t="s">
        <v>4</v>
      </c>
      <c r="AC114" t="s">
        <v>4</v>
      </c>
      <c r="AD114" t="s">
        <v>4</v>
      </c>
      <c r="AE114" t="s">
        <v>4</v>
      </c>
      <c r="AF114" t="s">
        <v>4</v>
      </c>
      <c r="AG114" t="s">
        <v>4</v>
      </c>
      <c r="AH114" t="s">
        <v>4</v>
      </c>
    </row>
    <row r="115" spans="1:34">
      <c r="A115" s="6" t="s">
        <v>4</v>
      </c>
      <c r="B115" s="7" t="s">
        <v>4</v>
      </c>
      <c r="C115" s="7" t="s">
        <v>4</v>
      </c>
      <c r="G115" t="s">
        <v>4</v>
      </c>
      <c r="H115" t="s">
        <v>4</v>
      </c>
      <c r="I115" t="s">
        <v>4</v>
      </c>
      <c r="J115" t="s">
        <v>4</v>
      </c>
      <c r="K115" t="s">
        <v>4</v>
      </c>
      <c r="L115" t="s">
        <v>4</v>
      </c>
      <c r="M115" t="s">
        <v>4</v>
      </c>
      <c r="N115" t="s">
        <v>4</v>
      </c>
      <c r="O115" t="s">
        <v>4</v>
      </c>
      <c r="P115" t="s">
        <v>4</v>
      </c>
      <c r="Q115" t="s">
        <v>4</v>
      </c>
      <c r="R115" t="s">
        <v>4</v>
      </c>
      <c r="S115" t="s">
        <v>4</v>
      </c>
      <c r="T115" t="s">
        <v>4</v>
      </c>
      <c r="U115" t="s">
        <v>4</v>
      </c>
      <c r="V115" t="s">
        <v>4</v>
      </c>
      <c r="W115" t="s">
        <v>4</v>
      </c>
      <c r="X115" t="s">
        <v>4</v>
      </c>
      <c r="Y115" t="s">
        <v>4</v>
      </c>
      <c r="Z115" t="s">
        <v>4</v>
      </c>
      <c r="AA115" t="s">
        <v>4</v>
      </c>
      <c r="AB115" t="s">
        <v>4</v>
      </c>
      <c r="AC115" t="s">
        <v>4</v>
      </c>
      <c r="AD115" t="s">
        <v>4</v>
      </c>
      <c r="AE115" t="s">
        <v>4</v>
      </c>
      <c r="AF115" t="s">
        <v>4</v>
      </c>
      <c r="AG115" t="s">
        <v>4</v>
      </c>
      <c r="AH115" t="s">
        <v>4</v>
      </c>
    </row>
    <row r="116" spans="1:34">
      <c r="A116" s="6" t="s">
        <v>4</v>
      </c>
      <c r="B116" s="7" t="s">
        <v>4</v>
      </c>
      <c r="C116" s="7" t="s">
        <v>4</v>
      </c>
      <c r="G116" t="s">
        <v>4</v>
      </c>
      <c r="H116" t="s">
        <v>4</v>
      </c>
      <c r="I116" t="s">
        <v>4</v>
      </c>
      <c r="J116" t="s">
        <v>4</v>
      </c>
      <c r="K116" t="s">
        <v>4</v>
      </c>
      <c r="L116" t="s">
        <v>4</v>
      </c>
      <c r="M116" t="s">
        <v>4</v>
      </c>
      <c r="N116" t="s">
        <v>4</v>
      </c>
      <c r="O116" t="s">
        <v>4</v>
      </c>
      <c r="P116" t="s">
        <v>4</v>
      </c>
      <c r="Q116" t="s">
        <v>4</v>
      </c>
      <c r="R116" t="s">
        <v>4</v>
      </c>
      <c r="S116" t="s">
        <v>4</v>
      </c>
      <c r="T116" t="s">
        <v>4</v>
      </c>
      <c r="U116" t="s">
        <v>4</v>
      </c>
      <c r="V116" t="s">
        <v>4</v>
      </c>
      <c r="W116" t="s">
        <v>4</v>
      </c>
      <c r="X116" t="s">
        <v>4</v>
      </c>
      <c r="Y116" t="s">
        <v>4</v>
      </c>
      <c r="Z116" t="s">
        <v>4</v>
      </c>
      <c r="AA116" t="s">
        <v>4</v>
      </c>
      <c r="AB116" t="s">
        <v>4</v>
      </c>
      <c r="AC116" t="s">
        <v>4</v>
      </c>
      <c r="AD116" t="s">
        <v>4</v>
      </c>
      <c r="AE116" t="s">
        <v>4</v>
      </c>
      <c r="AF116" t="s">
        <v>4</v>
      </c>
      <c r="AG116" t="s">
        <v>4</v>
      </c>
      <c r="AH116" t="s">
        <v>4</v>
      </c>
    </row>
    <row r="117" spans="1:34">
      <c r="A117" s="6" t="s">
        <v>4</v>
      </c>
      <c r="B117" s="7" t="s">
        <v>4</v>
      </c>
      <c r="C117" s="7" t="s">
        <v>4</v>
      </c>
      <c r="G117" t="s">
        <v>4</v>
      </c>
      <c r="H117" t="s">
        <v>4</v>
      </c>
      <c r="I117" t="s">
        <v>4</v>
      </c>
      <c r="J117" t="s">
        <v>4</v>
      </c>
      <c r="K117" t="s">
        <v>4</v>
      </c>
      <c r="L117" t="s">
        <v>4</v>
      </c>
      <c r="M117" t="s">
        <v>4</v>
      </c>
      <c r="N117" t="s">
        <v>4</v>
      </c>
      <c r="O117" t="s">
        <v>4</v>
      </c>
      <c r="P117" t="s">
        <v>4</v>
      </c>
      <c r="Q117" t="s">
        <v>4</v>
      </c>
      <c r="R117" t="s">
        <v>4</v>
      </c>
      <c r="S117" t="s">
        <v>4</v>
      </c>
      <c r="T117" t="s">
        <v>4</v>
      </c>
      <c r="U117" t="s">
        <v>4</v>
      </c>
      <c r="V117" t="s">
        <v>4</v>
      </c>
      <c r="W117" t="s">
        <v>4</v>
      </c>
      <c r="X117" t="s">
        <v>4</v>
      </c>
      <c r="Y117" t="s">
        <v>4</v>
      </c>
      <c r="Z117" t="s">
        <v>4</v>
      </c>
      <c r="AA117" t="s">
        <v>4</v>
      </c>
      <c r="AB117" t="s">
        <v>4</v>
      </c>
      <c r="AC117" t="s">
        <v>4</v>
      </c>
      <c r="AD117" t="s">
        <v>4</v>
      </c>
      <c r="AE117" t="s">
        <v>4</v>
      </c>
      <c r="AF117" t="s">
        <v>4</v>
      </c>
      <c r="AG117" t="s">
        <v>4</v>
      </c>
      <c r="AH117" t="s">
        <v>4</v>
      </c>
    </row>
    <row r="118" spans="1:34">
      <c r="A118" s="6" t="s">
        <v>4</v>
      </c>
      <c r="B118" s="7" t="s">
        <v>4</v>
      </c>
      <c r="C118" s="7" t="s">
        <v>4</v>
      </c>
      <c r="G118" t="s">
        <v>4</v>
      </c>
      <c r="H118" t="s">
        <v>4</v>
      </c>
      <c r="I118" t="s">
        <v>4</v>
      </c>
      <c r="J118" t="s">
        <v>4</v>
      </c>
      <c r="K118" t="s">
        <v>4</v>
      </c>
      <c r="L118" t="s">
        <v>4</v>
      </c>
      <c r="M118" t="s">
        <v>4</v>
      </c>
      <c r="N118" t="s">
        <v>4</v>
      </c>
      <c r="O118" t="s">
        <v>4</v>
      </c>
      <c r="P118" t="s">
        <v>4</v>
      </c>
      <c r="Q118" t="s">
        <v>4</v>
      </c>
      <c r="R118" t="s">
        <v>4</v>
      </c>
      <c r="S118" t="s">
        <v>4</v>
      </c>
      <c r="T118" t="s">
        <v>4</v>
      </c>
      <c r="U118" t="s">
        <v>4</v>
      </c>
      <c r="V118" t="s">
        <v>4</v>
      </c>
      <c r="W118" t="s">
        <v>4</v>
      </c>
      <c r="X118" t="s">
        <v>4</v>
      </c>
      <c r="Y118" t="s">
        <v>4</v>
      </c>
      <c r="Z118" t="s">
        <v>4</v>
      </c>
      <c r="AA118" t="s">
        <v>4</v>
      </c>
      <c r="AB118" t="s">
        <v>4</v>
      </c>
      <c r="AC118" t="s">
        <v>4</v>
      </c>
      <c r="AD118" t="s">
        <v>4</v>
      </c>
      <c r="AE118" t="s">
        <v>4</v>
      </c>
      <c r="AF118" t="s">
        <v>4</v>
      </c>
      <c r="AG118" t="s">
        <v>4</v>
      </c>
      <c r="AH118" t="s">
        <v>4</v>
      </c>
    </row>
    <row r="119" spans="1:34">
      <c r="A119" s="6" t="s">
        <v>4</v>
      </c>
      <c r="B119" s="7" t="s">
        <v>4</v>
      </c>
      <c r="C119" s="7" t="s">
        <v>4</v>
      </c>
      <c r="G119" t="s">
        <v>4</v>
      </c>
      <c r="H119" t="s">
        <v>4</v>
      </c>
      <c r="I119" t="s">
        <v>4</v>
      </c>
      <c r="J119" t="s">
        <v>4</v>
      </c>
      <c r="K119" t="s">
        <v>4</v>
      </c>
      <c r="L119" t="s">
        <v>4</v>
      </c>
      <c r="M119" t="s">
        <v>4</v>
      </c>
      <c r="N119" t="s">
        <v>4</v>
      </c>
      <c r="O119" t="s">
        <v>4</v>
      </c>
      <c r="P119" t="s">
        <v>4</v>
      </c>
      <c r="Q119" t="s">
        <v>4</v>
      </c>
      <c r="R119" t="s">
        <v>4</v>
      </c>
      <c r="S119" t="s">
        <v>4</v>
      </c>
      <c r="T119" t="s">
        <v>4</v>
      </c>
      <c r="U119" t="s">
        <v>4</v>
      </c>
      <c r="V119" t="s">
        <v>4</v>
      </c>
      <c r="W119" t="s">
        <v>4</v>
      </c>
      <c r="X119" t="s">
        <v>4</v>
      </c>
      <c r="Y119" t="s">
        <v>4</v>
      </c>
      <c r="Z119" t="s">
        <v>4</v>
      </c>
      <c r="AA119" t="s">
        <v>4</v>
      </c>
      <c r="AB119" t="s">
        <v>4</v>
      </c>
      <c r="AC119" t="s">
        <v>4</v>
      </c>
      <c r="AD119" t="s">
        <v>4</v>
      </c>
      <c r="AE119" t="s">
        <v>4</v>
      </c>
      <c r="AF119" t="s">
        <v>4</v>
      </c>
      <c r="AG119" t="s">
        <v>4</v>
      </c>
      <c r="AH119" t="s">
        <v>4</v>
      </c>
    </row>
    <row r="120" spans="1:34">
      <c r="A120" s="6" t="s">
        <v>4</v>
      </c>
      <c r="B120" s="7" t="s">
        <v>4</v>
      </c>
      <c r="C120" s="7" t="s">
        <v>4</v>
      </c>
      <c r="G120" t="s">
        <v>4</v>
      </c>
      <c r="H120" t="s">
        <v>4</v>
      </c>
      <c r="I120" t="s">
        <v>4</v>
      </c>
      <c r="J120" t="s">
        <v>4</v>
      </c>
      <c r="K120" t="s">
        <v>4</v>
      </c>
      <c r="L120" t="s">
        <v>4</v>
      </c>
      <c r="M120" t="s">
        <v>4</v>
      </c>
      <c r="N120" t="s">
        <v>4</v>
      </c>
      <c r="O120" t="s">
        <v>4</v>
      </c>
      <c r="P120" t="s">
        <v>4</v>
      </c>
      <c r="Q120" t="s">
        <v>4</v>
      </c>
      <c r="R120" t="s">
        <v>4</v>
      </c>
      <c r="S120" t="s">
        <v>4</v>
      </c>
      <c r="T120" t="s">
        <v>4</v>
      </c>
      <c r="U120" t="s">
        <v>4</v>
      </c>
      <c r="V120" t="s">
        <v>4</v>
      </c>
      <c r="W120" t="s">
        <v>4</v>
      </c>
      <c r="X120" t="s">
        <v>4</v>
      </c>
      <c r="Y120" t="s">
        <v>4</v>
      </c>
      <c r="Z120" t="s">
        <v>4</v>
      </c>
      <c r="AA120" t="s">
        <v>4</v>
      </c>
      <c r="AB120" t="s">
        <v>4</v>
      </c>
      <c r="AC120" t="s">
        <v>4</v>
      </c>
      <c r="AD120" t="s">
        <v>4</v>
      </c>
      <c r="AE120" t="s">
        <v>4</v>
      </c>
      <c r="AF120" t="s">
        <v>4</v>
      </c>
      <c r="AG120" t="s">
        <v>4</v>
      </c>
      <c r="AH120" t="s">
        <v>4</v>
      </c>
    </row>
    <row r="121" spans="1:34">
      <c r="A121" s="6" t="s">
        <v>4</v>
      </c>
      <c r="B121" s="7" t="s">
        <v>4</v>
      </c>
      <c r="C121" s="7" t="s">
        <v>4</v>
      </c>
      <c r="G121" t="s">
        <v>4</v>
      </c>
      <c r="H121" t="s">
        <v>4</v>
      </c>
      <c r="I121" t="s">
        <v>4</v>
      </c>
      <c r="J121" t="s">
        <v>4</v>
      </c>
      <c r="K121" t="s">
        <v>4</v>
      </c>
      <c r="L121" t="s">
        <v>4</v>
      </c>
      <c r="M121" t="s">
        <v>4</v>
      </c>
      <c r="N121" t="s">
        <v>4</v>
      </c>
      <c r="O121" t="s">
        <v>4</v>
      </c>
      <c r="P121" t="s">
        <v>4</v>
      </c>
      <c r="Q121" t="s">
        <v>4</v>
      </c>
      <c r="R121" t="s">
        <v>4</v>
      </c>
      <c r="S121" t="s">
        <v>4</v>
      </c>
      <c r="T121" t="s">
        <v>4</v>
      </c>
      <c r="U121" t="s">
        <v>4</v>
      </c>
      <c r="V121" t="s">
        <v>4</v>
      </c>
      <c r="W121" t="s">
        <v>4</v>
      </c>
      <c r="X121" t="s">
        <v>4</v>
      </c>
      <c r="Y121" t="s">
        <v>4</v>
      </c>
      <c r="Z121" t="s">
        <v>4</v>
      </c>
      <c r="AA121" t="s">
        <v>4</v>
      </c>
      <c r="AB121" t="s">
        <v>4</v>
      </c>
      <c r="AC121" t="s">
        <v>4</v>
      </c>
      <c r="AD121" t="s">
        <v>4</v>
      </c>
      <c r="AE121" t="s">
        <v>4</v>
      </c>
      <c r="AF121" t="s">
        <v>4</v>
      </c>
      <c r="AG121" t="s">
        <v>4</v>
      </c>
      <c r="AH121" t="s">
        <v>4</v>
      </c>
    </row>
    <row r="122" spans="1:34">
      <c r="A122" s="6" t="s">
        <v>4</v>
      </c>
      <c r="B122" s="7" t="s">
        <v>4</v>
      </c>
      <c r="C122" s="7" t="s">
        <v>4</v>
      </c>
      <c r="G122" t="s">
        <v>4</v>
      </c>
      <c r="H122" t="s">
        <v>4</v>
      </c>
      <c r="I122" t="s">
        <v>4</v>
      </c>
      <c r="J122" t="s">
        <v>4</v>
      </c>
      <c r="K122" t="s">
        <v>4</v>
      </c>
      <c r="L122" t="s">
        <v>4</v>
      </c>
      <c r="M122" t="s">
        <v>4</v>
      </c>
      <c r="N122" t="s">
        <v>4</v>
      </c>
      <c r="O122" t="s">
        <v>4</v>
      </c>
      <c r="P122" t="s">
        <v>4</v>
      </c>
      <c r="Q122" t="s">
        <v>4</v>
      </c>
      <c r="R122" t="s">
        <v>4</v>
      </c>
      <c r="S122" t="s">
        <v>4</v>
      </c>
      <c r="T122" t="s">
        <v>4</v>
      </c>
      <c r="U122" t="s">
        <v>4</v>
      </c>
      <c r="V122" t="s">
        <v>4</v>
      </c>
      <c r="W122" t="s">
        <v>4</v>
      </c>
      <c r="X122" t="s">
        <v>4</v>
      </c>
      <c r="Y122" t="s">
        <v>4</v>
      </c>
      <c r="Z122" t="s">
        <v>4</v>
      </c>
      <c r="AA122" t="s">
        <v>4</v>
      </c>
      <c r="AB122" t="s">
        <v>4</v>
      </c>
      <c r="AC122" t="s">
        <v>4</v>
      </c>
      <c r="AD122" t="s">
        <v>4</v>
      </c>
      <c r="AE122" t="s">
        <v>4</v>
      </c>
      <c r="AF122" t="s">
        <v>4</v>
      </c>
      <c r="AG122" t="s">
        <v>4</v>
      </c>
      <c r="AH122" t="s">
        <v>4</v>
      </c>
    </row>
    <row r="123" spans="1:34">
      <c r="A123" s="6" t="s">
        <v>4</v>
      </c>
      <c r="B123" s="7" t="s">
        <v>4</v>
      </c>
      <c r="C123" s="7" t="s">
        <v>4</v>
      </c>
      <c r="G123" t="s">
        <v>4</v>
      </c>
      <c r="H123" t="s">
        <v>4</v>
      </c>
      <c r="I123" t="s">
        <v>4</v>
      </c>
      <c r="J123" t="s">
        <v>4</v>
      </c>
      <c r="K123" t="s">
        <v>4</v>
      </c>
      <c r="L123" t="s">
        <v>4</v>
      </c>
      <c r="M123" t="s">
        <v>4</v>
      </c>
      <c r="N123" t="s">
        <v>4</v>
      </c>
      <c r="O123" t="s">
        <v>4</v>
      </c>
      <c r="P123" t="s">
        <v>4</v>
      </c>
      <c r="Q123" t="s">
        <v>4</v>
      </c>
      <c r="R123" t="s">
        <v>4</v>
      </c>
      <c r="S123" t="s">
        <v>4</v>
      </c>
      <c r="T123" t="s">
        <v>4</v>
      </c>
      <c r="U123" t="s">
        <v>4</v>
      </c>
      <c r="V123" t="s">
        <v>4</v>
      </c>
      <c r="W123" t="s">
        <v>4</v>
      </c>
      <c r="X123" t="s">
        <v>4</v>
      </c>
      <c r="Y123" t="s">
        <v>4</v>
      </c>
      <c r="Z123" t="s">
        <v>4</v>
      </c>
      <c r="AA123" t="s">
        <v>4</v>
      </c>
      <c r="AB123" t="s">
        <v>4</v>
      </c>
      <c r="AC123" t="s">
        <v>4</v>
      </c>
      <c r="AD123" t="s">
        <v>4</v>
      </c>
      <c r="AE123" t="s">
        <v>4</v>
      </c>
      <c r="AF123" t="s">
        <v>4</v>
      </c>
      <c r="AG123" t="s">
        <v>4</v>
      </c>
      <c r="AH123" t="s">
        <v>4</v>
      </c>
    </row>
    <row r="124" spans="1:34">
      <c r="A124" s="6" t="s">
        <v>4</v>
      </c>
      <c r="B124" s="7" t="s">
        <v>4</v>
      </c>
      <c r="C124" s="7" t="s">
        <v>4</v>
      </c>
      <c r="G124" t="s">
        <v>4</v>
      </c>
      <c r="H124" t="s">
        <v>4</v>
      </c>
      <c r="I124" t="s">
        <v>4</v>
      </c>
      <c r="J124" t="s">
        <v>4</v>
      </c>
      <c r="K124" t="s">
        <v>4</v>
      </c>
      <c r="L124" t="s">
        <v>4</v>
      </c>
      <c r="M124" t="s">
        <v>4</v>
      </c>
      <c r="N124" t="s">
        <v>4</v>
      </c>
      <c r="O124" t="s">
        <v>4</v>
      </c>
      <c r="P124" t="s">
        <v>4</v>
      </c>
      <c r="Q124" t="s">
        <v>4</v>
      </c>
      <c r="R124" t="s">
        <v>4</v>
      </c>
      <c r="S124" t="s">
        <v>4</v>
      </c>
      <c r="T124" t="s">
        <v>4</v>
      </c>
      <c r="U124" t="s">
        <v>4</v>
      </c>
      <c r="V124" t="s">
        <v>4</v>
      </c>
      <c r="W124" t="s">
        <v>4</v>
      </c>
      <c r="X124" t="s">
        <v>4</v>
      </c>
      <c r="Y124" t="s">
        <v>4</v>
      </c>
      <c r="Z124" t="s">
        <v>4</v>
      </c>
      <c r="AA124" t="s">
        <v>4</v>
      </c>
      <c r="AB124" t="s">
        <v>4</v>
      </c>
      <c r="AC124" t="s">
        <v>4</v>
      </c>
      <c r="AD124" t="s">
        <v>4</v>
      </c>
      <c r="AE124" t="s">
        <v>4</v>
      </c>
      <c r="AF124" t="s">
        <v>4</v>
      </c>
      <c r="AG124" t="s">
        <v>4</v>
      </c>
      <c r="AH124" t="s">
        <v>4</v>
      </c>
    </row>
    <row r="125" spans="1:34">
      <c r="A125" s="6" t="s">
        <v>4</v>
      </c>
      <c r="B125" s="7" t="s">
        <v>4</v>
      </c>
      <c r="C125" s="7" t="s">
        <v>4</v>
      </c>
      <c r="G125" t="s">
        <v>4</v>
      </c>
      <c r="H125" t="s">
        <v>4</v>
      </c>
      <c r="I125" t="s">
        <v>4</v>
      </c>
      <c r="J125" t="s">
        <v>4</v>
      </c>
      <c r="K125" t="s">
        <v>4</v>
      </c>
      <c r="L125" t="s">
        <v>4</v>
      </c>
      <c r="M125" t="s">
        <v>4</v>
      </c>
      <c r="N125" t="s">
        <v>4</v>
      </c>
      <c r="O125" t="s">
        <v>4</v>
      </c>
      <c r="P125" t="s">
        <v>4</v>
      </c>
      <c r="Q125" t="s">
        <v>4</v>
      </c>
      <c r="R125" t="s">
        <v>4</v>
      </c>
      <c r="S125" t="s">
        <v>4</v>
      </c>
      <c r="T125" t="s">
        <v>4</v>
      </c>
      <c r="U125" t="s">
        <v>4</v>
      </c>
      <c r="V125" t="s">
        <v>4</v>
      </c>
      <c r="W125" t="s">
        <v>4</v>
      </c>
      <c r="X125" t="s">
        <v>4</v>
      </c>
      <c r="Y125" t="s">
        <v>4</v>
      </c>
      <c r="Z125" t="s">
        <v>4</v>
      </c>
      <c r="AA125" t="s">
        <v>4</v>
      </c>
      <c r="AB125" t="s">
        <v>4</v>
      </c>
      <c r="AC125" t="s">
        <v>4</v>
      </c>
      <c r="AD125" t="s">
        <v>4</v>
      </c>
      <c r="AE125" t="s">
        <v>4</v>
      </c>
      <c r="AF125" t="s">
        <v>4</v>
      </c>
      <c r="AG125" t="s">
        <v>4</v>
      </c>
      <c r="AH125" t="s">
        <v>4</v>
      </c>
    </row>
  </sheetData>
  <mergeCells count="4">
    <mergeCell ref="B41:B45"/>
    <mergeCell ref="B46:B47"/>
    <mergeCell ref="B48:B49"/>
    <mergeCell ref="B53:B59"/>
  </mergeCells>
  <dataValidations count="1">
    <dataValidation type="list" sqref="C2:C7 C9:C32 C34:C37 C39:C49 C51:C59 C61:C220">
      <formula1>"售前填写,默认配置"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topLeftCell="A4" workbookViewId="0">
      <selection activeCell="L7" sqref="L7"/>
    </sheetView>
  </sheetViews>
  <sheetFormatPr defaultColWidth="9" defaultRowHeight="13.5" outlineLevelRow="7"/>
  <cols>
    <col min="1" max="3" width="9" style="1"/>
    <col min="4" max="4" width="40.75" style="1" customWidth="1"/>
    <col min="5" max="5" width="22.25" style="1" customWidth="1"/>
    <col min="6" max="6" width="26.875" style="1" customWidth="1"/>
    <col min="7" max="7" width="19.375" style="1" customWidth="1"/>
    <col min="8" max="8" width="26.75" style="1" customWidth="1"/>
    <col min="9" max="9" width="31" style="1" customWidth="1"/>
    <col min="10" max="10" width="37.125" style="1" customWidth="1"/>
    <col min="11" max="11" width="31.75" style="1" customWidth="1"/>
    <col min="12" max="12" width="18.625" style="1" customWidth="1"/>
    <col min="13" max="13" width="34.25" style="1" customWidth="1"/>
    <col min="14" max="14" width="28.5" style="1" customWidth="1"/>
    <col min="15" max="15" width="30.75" style="1" customWidth="1"/>
    <col min="16" max="20" width="9" style="1"/>
  </cols>
  <sheetData>
    <row r="1" ht="27" spans="1:17">
      <c r="A1" s="1" t="s">
        <v>317</v>
      </c>
      <c r="B1" s="1" t="s">
        <v>318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  <c r="H1" s="1" t="s">
        <v>324</v>
      </c>
      <c r="I1" s="1" t="s">
        <v>325</v>
      </c>
      <c r="J1" s="1" t="s">
        <v>326</v>
      </c>
      <c r="K1" s="1" t="s">
        <v>327</v>
      </c>
      <c r="L1" s="1" t="s">
        <v>328</v>
      </c>
      <c r="M1" s="1" t="s">
        <v>329</v>
      </c>
      <c r="N1" s="1" t="s">
        <v>330</v>
      </c>
      <c r="O1" s="1" t="s">
        <v>331</v>
      </c>
      <c r="P1" s="1" t="s">
        <v>332</v>
      </c>
      <c r="Q1" s="1" t="s">
        <v>333</v>
      </c>
    </row>
    <row r="2" ht="165" customHeight="1" spans="1:17">
      <c r="A2" s="1" t="s">
        <v>143</v>
      </c>
      <c r="B2" s="1" t="s">
        <v>334</v>
      </c>
      <c r="C2" s="1" t="s">
        <v>335</v>
      </c>
      <c r="D2" t="str">
        <f>_xlfn.DISPIMG("ID_ED49FC9FE0214E829D32A15260115240",1)</f>
        <v>=DISPIMG("ID_ED49FC9FE0214E829D32A15260115240",1)</v>
      </c>
      <c r="E2" s="2" t="s">
        <v>336</v>
      </c>
      <c r="F2" s="2" t="s">
        <v>337</v>
      </c>
      <c r="G2" s="2" t="s">
        <v>150</v>
      </c>
      <c r="H2" s="2" t="s">
        <v>151</v>
      </c>
      <c r="I2" s="2" t="s">
        <v>338</v>
      </c>
      <c r="J2" s="2" t="s">
        <v>206</v>
      </c>
    </row>
    <row r="3" ht="176" customHeight="1" spans="1:17">
      <c r="A3" s="1" t="s">
        <v>143</v>
      </c>
      <c r="B3" s="1" t="s">
        <v>339</v>
      </c>
      <c r="C3" s="1" t="s">
        <v>340</v>
      </c>
      <c r="D3" t="str">
        <f>_xlfn.DISPIMG("ID_E75436E6FE2F4609A3B6AEEDA01C988E",1)</f>
        <v>=DISPIMG("ID_E75436E6FE2F4609A3B6AEEDA01C988E",1)</v>
      </c>
      <c r="E3" s="2" t="s">
        <v>336</v>
      </c>
      <c r="F3" s="2" t="s">
        <v>337</v>
      </c>
      <c r="G3" s="2" t="s">
        <v>150</v>
      </c>
      <c r="H3" s="2" t="s">
        <v>151</v>
      </c>
      <c r="I3" s="2" t="s">
        <v>338</v>
      </c>
      <c r="J3" s="2" t="str">
        <f>_xlfn.DISPIMG("ID_9FE32722ACE54A6C9CC322B16673B71A",1)</f>
        <v>=DISPIMG("ID_9FE32722ACE54A6C9CC322B16673B71A",1)</v>
      </c>
      <c r="K3" s="2" t="s">
        <v>152</v>
      </c>
      <c r="L3" s="2" t="s">
        <v>154</v>
      </c>
      <c r="M3" s="2" t="str">
        <f>_xlfn.DISPIMG("ID_EDDB27B358224EE78DB0403E99B582FE",1)</f>
        <v>=DISPIMG("ID_EDDB27B358224EE78DB0403E99B582FE",1)</v>
      </c>
      <c r="N3" s="2" t="s">
        <v>156</v>
      </c>
      <c r="O3" s="2" t="s">
        <v>158</v>
      </c>
    </row>
    <row r="4" ht="127" customHeight="1" spans="1:17">
      <c r="A4" s="1" t="s">
        <v>143</v>
      </c>
      <c r="B4" s="1" t="s">
        <v>341</v>
      </c>
      <c r="C4" s="1" t="s">
        <v>342</v>
      </c>
      <c r="D4" t="str">
        <f>_xlfn.DISPIMG("ID_16F310F9E89A4DAEBF4063534FAAF598",1)</f>
        <v>=DISPIMG("ID_16F310F9E89A4DAEBF4063534FAAF598",1)</v>
      </c>
      <c r="E4" s="2" t="s">
        <v>343</v>
      </c>
      <c r="F4" s="2" t="s">
        <v>337</v>
      </c>
      <c r="G4" s="2" t="s">
        <v>344</v>
      </c>
      <c r="H4" s="2" t="s">
        <v>345</v>
      </c>
      <c r="I4" s="2" t="s">
        <v>346</v>
      </c>
      <c r="J4" s="1" t="s">
        <v>206</v>
      </c>
      <c r="K4" s="2" t="s">
        <v>347</v>
      </c>
    </row>
    <row r="5" ht="107.25" spans="1:17">
      <c r="A5" s="1" t="s">
        <v>143</v>
      </c>
      <c r="B5" s="1" t="s">
        <v>348</v>
      </c>
      <c r="C5" s="1" t="s">
        <v>349</v>
      </c>
      <c r="D5" t="str">
        <f>_xlfn.DISPIMG("ID_80D18D0AA4004C0A8D507BA4329F1F6B",1)</f>
        <v>=DISPIMG("ID_80D18D0AA4004C0A8D507BA4329F1F6B",1)</v>
      </c>
      <c r="E5" s="2" t="s">
        <v>343</v>
      </c>
      <c r="F5" s="2" t="s">
        <v>337</v>
      </c>
      <c r="G5" s="2" t="s">
        <v>344</v>
      </c>
      <c r="H5" s="2" t="s">
        <v>345</v>
      </c>
      <c r="I5" s="2" t="s">
        <v>346</v>
      </c>
      <c r="J5" s="1" t="s">
        <v>206</v>
      </c>
      <c r="K5" s="2" t="s">
        <v>347</v>
      </c>
      <c r="L5" s="2" t="s">
        <v>338</v>
      </c>
    </row>
    <row r="6" ht="247.15" spans="1:17">
      <c r="A6" s="3" t="s">
        <v>143</v>
      </c>
      <c r="B6" s="1" t="s">
        <v>350</v>
      </c>
      <c r="C6" s="1" t="s">
        <v>351</v>
      </c>
      <c r="D6" t="str">
        <f>_xlfn.DISPIMG("ID_0B1CA24BE551446293648E582DD1849C",1)</f>
        <v>=DISPIMG("ID_0B1CA24BE551446293648E582DD1849C",1)</v>
      </c>
      <c r="E6" s="2" t="s">
        <v>343</v>
      </c>
      <c r="F6" s="2" t="s">
        <v>337</v>
      </c>
      <c r="G6" s="2" t="s">
        <v>150</v>
      </c>
      <c r="H6" s="2" t="s">
        <v>151</v>
      </c>
      <c r="I6" s="2" t="s">
        <v>338</v>
      </c>
    </row>
    <row r="7" ht="65.7" spans="1:17">
      <c r="A7" s="1" t="s">
        <v>160</v>
      </c>
      <c r="B7" s="1" t="s">
        <v>352</v>
      </c>
      <c r="C7" s="1" t="s">
        <v>353</v>
      </c>
      <c r="D7" t="str">
        <f>_xlfn.DISPIMG("ID_AA709F6C426643FFA52F84A14115EEAE",1)</f>
        <v>=DISPIMG("ID_AA709F6C426643FFA52F84A14115EEAE",1)</v>
      </c>
      <c r="E7" s="2" t="s">
        <v>163</v>
      </c>
      <c r="F7" s="2" t="s">
        <v>167</v>
      </c>
      <c r="G7" s="2" t="s">
        <v>164</v>
      </c>
      <c r="H7" s="2" t="s">
        <v>168</v>
      </c>
      <c r="I7" s="2" t="s">
        <v>165</v>
      </c>
      <c r="J7" s="2" t="s">
        <v>169</v>
      </c>
      <c r="K7" s="2" t="s">
        <v>166</v>
      </c>
    </row>
    <row r="8" ht="182.7" spans="1:17">
      <c r="A8" s="1" t="s">
        <v>160</v>
      </c>
      <c r="B8" s="1" t="s">
        <v>354</v>
      </c>
      <c r="C8" s="1" t="s">
        <v>355</v>
      </c>
      <c r="D8" t="str">
        <f>_xlfn.DISPIMG("ID_566D0A2D484D4052B68F9A960018F198",1)</f>
        <v>=DISPIMG("ID_566D0A2D484D4052B68F9A960018F198",1)</v>
      </c>
      <c r="E8" s="2" t="s">
        <v>356</v>
      </c>
      <c r="F8" s="2" t="s">
        <v>357</v>
      </c>
      <c r="G8" s="2" t="s">
        <v>358</v>
      </c>
      <c r="H8" s="2" t="s">
        <v>359</v>
      </c>
      <c r="I8" s="2" t="s">
        <v>360</v>
      </c>
      <c r="J8" s="2" t="s">
        <v>361</v>
      </c>
      <c r="K8" s="2" t="s">
        <v>166</v>
      </c>
      <c r="L8" s="2" t="s">
        <v>362</v>
      </c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8</xdr:col>
                <xdr:colOff>0</xdr:colOff>
                <xdr:row>4</xdr:row>
                <xdr:rowOff>0</xdr:rowOff>
              </from>
              <to>
                <xdr:col>8</xdr:col>
                <xdr:colOff>2038350</xdr:colOff>
                <xdr:row>5</xdr:row>
                <xdr:rowOff>250825</xdr:rowOff>
              </to>
            </anchor>
          </controlPr>
        </control>
      </mc:Choice>
      <mc:Fallback>
        <control shapeId="1025" r:id="rId3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4"/>
  <sheetViews>
    <sheetView workbookViewId="0">
      <selection activeCell="A1" sqref="A1"/>
    </sheetView>
  </sheetViews>
  <sheetFormatPr defaultColWidth="9" defaultRowHeight="13.5" outlineLevelCol="2"/>
  <cols>
    <col min="1" max="1" width="46" customWidth="1"/>
    <col min="2" max="2" width="68" customWidth="1"/>
    <col min="3" max="3" width="38" customWidth="1"/>
  </cols>
  <sheetData>
    <row r="1" spans="1:3">
      <c r="A1" t="s">
        <v>363</v>
      </c>
      <c r="B1" t="s">
        <v>364</v>
      </c>
      <c r="C1" t="s">
        <v>365</v>
      </c>
    </row>
    <row r="2" spans="1:3">
      <c r="A2" t="s">
        <v>59</v>
      </c>
      <c r="B2" t="s">
        <v>366</v>
      </c>
      <c r="C2" t="s">
        <v>367</v>
      </c>
    </row>
    <row r="3" spans="1:3">
      <c r="A3" t="s">
        <v>368</v>
      </c>
      <c r="B3" t="s">
        <v>366</v>
      </c>
      <c r="C3" t="s">
        <v>367</v>
      </c>
    </row>
    <row r="4" spans="1:3">
      <c r="A4" t="s">
        <v>25</v>
      </c>
      <c r="B4" t="s">
        <v>369</v>
      </c>
      <c r="C4" t="s">
        <v>367</v>
      </c>
    </row>
    <row r="5" spans="1:3">
      <c r="A5" t="s">
        <v>228</v>
      </c>
      <c r="B5" t="s">
        <v>369</v>
      </c>
      <c r="C5" t="s">
        <v>367</v>
      </c>
    </row>
    <row r="6" spans="1:3">
      <c r="A6" t="s">
        <v>119</v>
      </c>
      <c r="B6" t="s">
        <v>370</v>
      </c>
      <c r="C6" t="s">
        <v>367</v>
      </c>
    </row>
    <row r="7" spans="1:3">
      <c r="A7" t="s">
        <v>316</v>
      </c>
      <c r="B7" t="s">
        <v>371</v>
      </c>
      <c r="C7" t="s">
        <v>367</v>
      </c>
    </row>
    <row r="8" spans="1:3">
      <c r="A8" t="s">
        <v>139</v>
      </c>
      <c r="B8" t="s">
        <v>372</v>
      </c>
      <c r="C8" t="s">
        <v>367</v>
      </c>
    </row>
    <row r="9" spans="1:3">
      <c r="A9" t="s">
        <v>373</v>
      </c>
      <c r="B9" t="s">
        <v>374</v>
      </c>
      <c r="C9" t="s">
        <v>367</v>
      </c>
    </row>
    <row r="10" spans="1:3">
      <c r="A10" t="s">
        <v>375</v>
      </c>
      <c r="B10" t="s">
        <v>376</v>
      </c>
      <c r="C10" t="s">
        <v>367</v>
      </c>
    </row>
    <row r="11" spans="1:3">
      <c r="A11" t="s">
        <v>377</v>
      </c>
      <c r="B11" t="s">
        <v>378</v>
      </c>
      <c r="C11" t="s">
        <v>367</v>
      </c>
    </row>
    <row r="12" spans="1:3">
      <c r="A12" t="s">
        <v>379</v>
      </c>
      <c r="B12" t="s">
        <v>380</v>
      </c>
      <c r="C12" t="s">
        <v>367</v>
      </c>
    </row>
    <row r="13" spans="1:3">
      <c r="A13" t="s">
        <v>381</v>
      </c>
      <c r="B13" t="s">
        <v>382</v>
      </c>
      <c r="C13" t="s">
        <v>367</v>
      </c>
    </row>
    <row r="14" spans="1:3">
      <c r="A14" t="s">
        <v>291</v>
      </c>
      <c r="B14" t="s">
        <v>383</v>
      </c>
      <c r="C14" t="s">
        <v>367</v>
      </c>
    </row>
    <row r="15" spans="1:3">
      <c r="A15" t="s">
        <v>27</v>
      </c>
      <c r="B15" t="s">
        <v>384</v>
      </c>
      <c r="C15" t="s">
        <v>367</v>
      </c>
    </row>
    <row r="16" spans="1:3">
      <c r="A16" t="s">
        <v>140</v>
      </c>
      <c r="B16" t="s">
        <v>385</v>
      </c>
      <c r="C16" t="s">
        <v>367</v>
      </c>
    </row>
    <row r="17" spans="1:3">
      <c r="A17" t="s">
        <v>386</v>
      </c>
      <c r="B17" t="s">
        <v>387</v>
      </c>
      <c r="C17" t="s">
        <v>367</v>
      </c>
    </row>
    <row r="18" spans="1:3">
      <c r="A18" t="s">
        <v>13</v>
      </c>
      <c r="B18" t="s">
        <v>388</v>
      </c>
      <c r="C18" t="s">
        <v>367</v>
      </c>
    </row>
    <row r="19" spans="1:3">
      <c r="A19" t="s">
        <v>389</v>
      </c>
      <c r="B19" t="s">
        <v>390</v>
      </c>
      <c r="C19" t="s">
        <v>367</v>
      </c>
    </row>
    <row r="20" spans="1:3">
      <c r="A20" t="s">
        <v>253</v>
      </c>
      <c r="B20" t="s">
        <v>391</v>
      </c>
      <c r="C20" t="s">
        <v>367</v>
      </c>
    </row>
    <row r="21" spans="1:3">
      <c r="A21" t="s">
        <v>12</v>
      </c>
      <c r="B21" t="s">
        <v>392</v>
      </c>
      <c r="C21" t="s">
        <v>367</v>
      </c>
    </row>
    <row r="22" spans="1:3">
      <c r="A22" t="s">
        <v>393</v>
      </c>
      <c r="B22" t="s">
        <v>394</v>
      </c>
      <c r="C22" t="s">
        <v>367</v>
      </c>
    </row>
    <row r="23" spans="1:3">
      <c r="A23" t="s">
        <v>170</v>
      </c>
      <c r="B23" t="s">
        <v>395</v>
      </c>
      <c r="C23" t="s">
        <v>367</v>
      </c>
    </row>
    <row r="24" spans="1:3">
      <c r="A24" t="s">
        <v>396</v>
      </c>
      <c r="B24" t="s">
        <v>397</v>
      </c>
      <c r="C24" t="s">
        <v>367</v>
      </c>
    </row>
    <row r="25" spans="1:3">
      <c r="A25" t="s">
        <v>143</v>
      </c>
      <c r="B25" t="s">
        <v>398</v>
      </c>
      <c r="C25" t="s">
        <v>367</v>
      </c>
    </row>
    <row r="26" spans="1:3">
      <c r="A26" t="s">
        <v>160</v>
      </c>
      <c r="B26" t="s">
        <v>399</v>
      </c>
      <c r="C26" t="s">
        <v>367</v>
      </c>
    </row>
    <row r="27" spans="1:3">
      <c r="A27" t="s">
        <v>193</v>
      </c>
      <c r="B27" t="s">
        <v>400</v>
      </c>
      <c r="C27" t="s">
        <v>367</v>
      </c>
    </row>
    <row r="28" spans="1:3">
      <c r="A28" t="s">
        <v>401</v>
      </c>
      <c r="B28" t="s">
        <v>402</v>
      </c>
      <c r="C28" t="s">
        <v>367</v>
      </c>
    </row>
    <row r="29" spans="1:3">
      <c r="A29" t="s">
        <v>77</v>
      </c>
      <c r="B29" t="s">
        <v>403</v>
      </c>
      <c r="C29" t="s">
        <v>367</v>
      </c>
    </row>
    <row r="30" spans="1:3">
      <c r="A30" t="s">
        <v>78</v>
      </c>
      <c r="B30" t="s">
        <v>404</v>
      </c>
      <c r="C30" t="s">
        <v>367</v>
      </c>
    </row>
    <row r="31" spans="1:3">
      <c r="A31" t="s">
        <v>141</v>
      </c>
      <c r="B31" t="s">
        <v>405</v>
      </c>
      <c r="C31" t="s">
        <v>367</v>
      </c>
    </row>
    <row r="32" spans="1:3">
      <c r="A32" t="s">
        <v>181</v>
      </c>
      <c r="B32" t="s">
        <v>406</v>
      </c>
      <c r="C32" t="s">
        <v>367</v>
      </c>
    </row>
    <row r="33" spans="1:3">
      <c r="A33" t="s">
        <v>312</v>
      </c>
      <c r="B33" t="s">
        <v>407</v>
      </c>
      <c r="C33" t="s">
        <v>367</v>
      </c>
    </row>
    <row r="34" spans="1:3">
      <c r="A34" t="s">
        <v>408</v>
      </c>
      <c r="B34" t="s">
        <v>409</v>
      </c>
      <c r="C34" t="s">
        <v>367</v>
      </c>
    </row>
    <row r="35" spans="1:3">
      <c r="A35" t="s">
        <v>172</v>
      </c>
      <c r="B35" t="s">
        <v>410</v>
      </c>
      <c r="C35" t="s">
        <v>367</v>
      </c>
    </row>
    <row r="36" spans="1:3">
      <c r="A36" t="s">
        <v>186</v>
      </c>
      <c r="B36" t="s">
        <v>411</v>
      </c>
      <c r="C36" t="s">
        <v>367</v>
      </c>
    </row>
    <row r="37" spans="1:3">
      <c r="A37" t="s">
        <v>412</v>
      </c>
      <c r="B37" t="s">
        <v>413</v>
      </c>
      <c r="C37" t="s">
        <v>367</v>
      </c>
    </row>
    <row r="38" spans="1:3">
      <c r="A38" t="s">
        <v>289</v>
      </c>
      <c r="B38" t="s">
        <v>414</v>
      </c>
      <c r="C38" t="s">
        <v>367</v>
      </c>
    </row>
    <row r="39" spans="1:3">
      <c r="A39" t="s">
        <v>272</v>
      </c>
      <c r="B39" t="s">
        <v>415</v>
      </c>
      <c r="C39" t="s">
        <v>367</v>
      </c>
    </row>
    <row r="40" spans="1:3">
      <c r="A40" t="s">
        <v>317</v>
      </c>
      <c r="B40" t="s">
        <v>416</v>
      </c>
      <c r="C40" t="s">
        <v>367</v>
      </c>
    </row>
    <row r="41" spans="1:3">
      <c r="A41" t="s">
        <v>417</v>
      </c>
      <c r="B41" t="s">
        <v>418</v>
      </c>
      <c r="C41" t="s">
        <v>367</v>
      </c>
    </row>
    <row r="42" spans="1:3">
      <c r="A42" t="s">
        <v>419</v>
      </c>
      <c r="B42" t="s">
        <v>420</v>
      </c>
      <c r="C42" t="s">
        <v>367</v>
      </c>
    </row>
    <row r="43" spans="1:3">
      <c r="A43" t="s">
        <v>421</v>
      </c>
      <c r="B43" t="s">
        <v>422</v>
      </c>
      <c r="C43" t="s">
        <v>367</v>
      </c>
    </row>
    <row r="44" spans="1:3">
      <c r="A44" t="s">
        <v>423</v>
      </c>
      <c r="B44" t="s">
        <v>424</v>
      </c>
      <c r="C44" t="s">
        <v>367</v>
      </c>
    </row>
    <row r="45" spans="1:3">
      <c r="A45" t="s">
        <v>26</v>
      </c>
      <c r="B45" t="s">
        <v>425</v>
      </c>
      <c r="C45" t="s">
        <v>367</v>
      </c>
    </row>
    <row r="46" spans="1:3">
      <c r="A46" t="s">
        <v>426</v>
      </c>
      <c r="B46" t="s">
        <v>427</v>
      </c>
      <c r="C46" t="s">
        <v>367</v>
      </c>
    </row>
    <row r="47" spans="1:3">
      <c r="A47" t="s">
        <v>19</v>
      </c>
      <c r="B47" t="s">
        <v>428</v>
      </c>
      <c r="C47" t="s">
        <v>367</v>
      </c>
    </row>
    <row r="48" spans="1:3">
      <c r="A48" t="s">
        <v>15</v>
      </c>
      <c r="B48" t="s">
        <v>429</v>
      </c>
      <c r="C48" t="s">
        <v>367</v>
      </c>
    </row>
    <row r="49" spans="1:3">
      <c r="A49" t="s">
        <v>430</v>
      </c>
      <c r="B49" t="s">
        <v>397</v>
      </c>
      <c r="C49" t="s">
        <v>367</v>
      </c>
    </row>
    <row r="50" spans="1:3">
      <c r="A50" t="s">
        <v>431</v>
      </c>
      <c r="B50" t="s">
        <v>432</v>
      </c>
      <c r="C50" t="s">
        <v>367</v>
      </c>
    </row>
    <row r="51" spans="1:3">
      <c r="A51" t="s">
        <v>433</v>
      </c>
      <c r="B51" t="s">
        <v>434</v>
      </c>
      <c r="C51" t="s">
        <v>367</v>
      </c>
    </row>
    <row r="52" spans="1:3">
      <c r="A52" t="s">
        <v>435</v>
      </c>
      <c r="B52" t="s">
        <v>436</v>
      </c>
      <c r="C52" t="s">
        <v>367</v>
      </c>
    </row>
    <row r="53" spans="1:3">
      <c r="A53" t="s">
        <v>437</v>
      </c>
      <c r="B53" t="s">
        <v>438</v>
      </c>
      <c r="C53" t="s">
        <v>367</v>
      </c>
    </row>
    <row r="54" spans="1:3">
      <c r="A54" t="s">
        <v>229</v>
      </c>
      <c r="B54" t="s">
        <v>439</v>
      </c>
      <c r="C54" t="s">
        <v>367</v>
      </c>
    </row>
    <row r="55" spans="1:3">
      <c r="A55" t="s">
        <v>196</v>
      </c>
      <c r="B55" t="s">
        <v>440</v>
      </c>
      <c r="C55" t="s">
        <v>367</v>
      </c>
    </row>
    <row r="56" spans="1:3">
      <c r="A56" t="s">
        <v>207</v>
      </c>
      <c r="B56" t="s">
        <v>441</v>
      </c>
      <c r="C56" t="s">
        <v>367</v>
      </c>
    </row>
    <row r="57" spans="1:3">
      <c r="A57" t="s">
        <v>202</v>
      </c>
      <c r="B57" t="s">
        <v>442</v>
      </c>
      <c r="C57" t="s">
        <v>367</v>
      </c>
    </row>
    <row r="58" spans="1:3">
      <c r="A58" t="s">
        <v>180</v>
      </c>
      <c r="B58" t="s">
        <v>443</v>
      </c>
      <c r="C58" t="s">
        <v>367</v>
      </c>
    </row>
    <row r="59" spans="1:3">
      <c r="A59" t="s">
        <v>5</v>
      </c>
      <c r="B59" t="s">
        <v>444</v>
      </c>
      <c r="C59" t="s">
        <v>367</v>
      </c>
    </row>
    <row r="60" spans="1:3">
      <c r="A60" t="s">
        <v>445</v>
      </c>
      <c r="B60" t="s">
        <v>446</v>
      </c>
      <c r="C60" t="s">
        <v>367</v>
      </c>
    </row>
    <row r="61" spans="1:3">
      <c r="A61" t="s">
        <v>318</v>
      </c>
      <c r="B61" t="s">
        <v>447</v>
      </c>
      <c r="C61" t="s">
        <v>367</v>
      </c>
    </row>
    <row r="62" spans="1:3">
      <c r="A62" t="s">
        <v>204</v>
      </c>
      <c r="B62" t="s">
        <v>448</v>
      </c>
      <c r="C62" t="s">
        <v>367</v>
      </c>
    </row>
    <row r="63" spans="1:3">
      <c r="A63" t="s">
        <v>449</v>
      </c>
      <c r="B63" t="s">
        <v>450</v>
      </c>
      <c r="C63" t="s">
        <v>367</v>
      </c>
    </row>
    <row r="64" spans="1:3">
      <c r="A64" t="s">
        <v>451</v>
      </c>
      <c r="B64" t="s">
        <v>452</v>
      </c>
      <c r="C64" t="s">
        <v>367</v>
      </c>
    </row>
    <row r="65" spans="1:3">
      <c r="A65" t="s">
        <v>273</v>
      </c>
      <c r="B65" t="s">
        <v>453</v>
      </c>
      <c r="C65" t="s">
        <v>367</v>
      </c>
    </row>
    <row r="66" spans="1:3">
      <c r="A66" t="s">
        <v>454</v>
      </c>
      <c r="B66" t="s">
        <v>446</v>
      </c>
      <c r="C66" t="s">
        <v>367</v>
      </c>
    </row>
    <row r="67" spans="1:3">
      <c r="A67" t="s">
        <v>116</v>
      </c>
      <c r="B67" t="s">
        <v>455</v>
      </c>
      <c r="C67" t="s">
        <v>367</v>
      </c>
    </row>
    <row r="68" spans="1:3">
      <c r="A68" t="s">
        <v>250</v>
      </c>
      <c r="B68" t="s">
        <v>456</v>
      </c>
      <c r="C68" t="s">
        <v>367</v>
      </c>
    </row>
    <row r="69" spans="1:3">
      <c r="A69" t="s">
        <v>457</v>
      </c>
      <c r="B69" t="s">
        <v>458</v>
      </c>
      <c r="C69" t="s">
        <v>367</v>
      </c>
    </row>
    <row r="70" spans="1:3">
      <c r="A70" t="s">
        <v>459</v>
      </c>
      <c r="B70" t="s">
        <v>460</v>
      </c>
      <c r="C70" t="s">
        <v>367</v>
      </c>
    </row>
    <row r="71" spans="1:3">
      <c r="A71" t="s">
        <v>174</v>
      </c>
      <c r="B71" t="s">
        <v>461</v>
      </c>
      <c r="C71" t="s">
        <v>367</v>
      </c>
    </row>
    <row r="72" spans="1:3">
      <c r="A72" t="s">
        <v>109</v>
      </c>
      <c r="B72" t="s">
        <v>462</v>
      </c>
      <c r="C72" t="s">
        <v>367</v>
      </c>
    </row>
    <row r="73" spans="1:3">
      <c r="A73" t="s">
        <v>279</v>
      </c>
      <c r="B73" t="s">
        <v>463</v>
      </c>
      <c r="C73" t="s">
        <v>367</v>
      </c>
    </row>
    <row r="74" spans="1:3">
      <c r="A74" t="s">
        <v>61</v>
      </c>
      <c r="B74" t="s">
        <v>464</v>
      </c>
      <c r="C74" t="s">
        <v>367</v>
      </c>
    </row>
    <row r="75" spans="1:3">
      <c r="A75" t="s">
        <v>103</v>
      </c>
      <c r="B75" t="s">
        <v>465</v>
      </c>
      <c r="C75" t="s">
        <v>367</v>
      </c>
    </row>
    <row r="76" spans="1:3">
      <c r="A76" t="s">
        <v>10</v>
      </c>
      <c r="B76" t="s">
        <v>466</v>
      </c>
      <c r="C76" t="s">
        <v>367</v>
      </c>
    </row>
    <row r="77" spans="1:3">
      <c r="A77" t="s">
        <v>227</v>
      </c>
      <c r="B77" t="s">
        <v>467</v>
      </c>
      <c r="C77" t="s">
        <v>367</v>
      </c>
    </row>
    <row r="78" spans="1:3">
      <c r="A78" t="s">
        <v>185</v>
      </c>
      <c r="B78" t="s">
        <v>468</v>
      </c>
      <c r="C78" t="s">
        <v>367</v>
      </c>
    </row>
    <row r="79" spans="1:3">
      <c r="A79" t="s">
        <v>469</v>
      </c>
      <c r="B79" t="s">
        <v>470</v>
      </c>
      <c r="C79" t="s">
        <v>367</v>
      </c>
    </row>
    <row r="80" spans="1:3">
      <c r="A80" t="s">
        <v>231</v>
      </c>
      <c r="B80" t="s">
        <v>471</v>
      </c>
      <c r="C80" t="s">
        <v>367</v>
      </c>
    </row>
    <row r="81" spans="1:3">
      <c r="A81" t="s">
        <v>89</v>
      </c>
      <c r="B81" t="s">
        <v>472</v>
      </c>
      <c r="C81" t="s">
        <v>367</v>
      </c>
    </row>
    <row r="82" spans="1:3">
      <c r="A82" t="s">
        <v>62</v>
      </c>
      <c r="B82" t="s">
        <v>473</v>
      </c>
      <c r="C82" t="s">
        <v>367</v>
      </c>
    </row>
    <row r="83" spans="1:3">
      <c r="A83" t="s">
        <v>474</v>
      </c>
      <c r="B83" t="s">
        <v>475</v>
      </c>
      <c r="C83" t="s">
        <v>367</v>
      </c>
    </row>
    <row r="84" spans="1:3">
      <c r="A84" t="s">
        <v>8</v>
      </c>
      <c r="B84" t="s">
        <v>476</v>
      </c>
      <c r="C84" t="s">
        <v>367</v>
      </c>
    </row>
    <row r="85" spans="1:3">
      <c r="A85" t="s">
        <v>138</v>
      </c>
      <c r="B85" t="s">
        <v>477</v>
      </c>
      <c r="C85" t="s">
        <v>367</v>
      </c>
    </row>
    <row r="86" spans="1:3">
      <c r="A86" t="s">
        <v>224</v>
      </c>
      <c r="B86" t="s">
        <v>478</v>
      </c>
      <c r="C86" t="s">
        <v>367</v>
      </c>
    </row>
    <row r="87" spans="1:3">
      <c r="A87" t="s">
        <v>124</v>
      </c>
      <c r="B87" t="s">
        <v>479</v>
      </c>
      <c r="C87" t="s">
        <v>367</v>
      </c>
    </row>
    <row r="88" spans="1:3">
      <c r="A88" t="s">
        <v>85</v>
      </c>
      <c r="B88" t="s">
        <v>480</v>
      </c>
      <c r="C88" t="s">
        <v>367</v>
      </c>
    </row>
    <row r="89" spans="1:3">
      <c r="A89" t="s">
        <v>290</v>
      </c>
      <c r="B89" t="s">
        <v>383</v>
      </c>
      <c r="C89" t="s">
        <v>367</v>
      </c>
    </row>
    <row r="90" spans="1:3">
      <c r="A90" t="s">
        <v>7</v>
      </c>
      <c r="B90" t="s">
        <v>481</v>
      </c>
      <c r="C90" t="s">
        <v>367</v>
      </c>
    </row>
    <row r="91" spans="1:3">
      <c r="A91" t="s">
        <v>213</v>
      </c>
      <c r="B91" t="s">
        <v>482</v>
      </c>
      <c r="C91" t="s">
        <v>367</v>
      </c>
    </row>
    <row r="92" spans="1:3">
      <c r="A92" t="s">
        <v>215</v>
      </c>
      <c r="B92" t="s">
        <v>483</v>
      </c>
      <c r="C92" t="s">
        <v>367</v>
      </c>
    </row>
    <row r="93" spans="1:3">
      <c r="A93" t="s">
        <v>23</v>
      </c>
      <c r="B93" t="s">
        <v>484</v>
      </c>
      <c r="C93" t="s">
        <v>367</v>
      </c>
    </row>
    <row r="94" spans="1:3">
      <c r="A94" t="s">
        <v>321</v>
      </c>
      <c r="B94" t="s">
        <v>485</v>
      </c>
      <c r="C94" t="s">
        <v>367</v>
      </c>
    </row>
    <row r="95" spans="1:3">
      <c r="A95" t="s">
        <v>322</v>
      </c>
      <c r="B95" t="s">
        <v>486</v>
      </c>
      <c r="C95" t="s">
        <v>367</v>
      </c>
    </row>
    <row r="96" spans="1:3">
      <c r="A96" t="s">
        <v>323</v>
      </c>
      <c r="B96" t="s">
        <v>487</v>
      </c>
      <c r="C96" t="s">
        <v>367</v>
      </c>
    </row>
    <row r="97" spans="1:3">
      <c r="A97" t="s">
        <v>324</v>
      </c>
      <c r="B97" t="s">
        <v>488</v>
      </c>
      <c r="C97" t="s">
        <v>367</v>
      </c>
    </row>
    <row r="98" spans="1:3">
      <c r="A98" t="s">
        <v>325</v>
      </c>
      <c r="B98" t="s">
        <v>489</v>
      </c>
      <c r="C98" t="s">
        <v>367</v>
      </c>
    </row>
    <row r="99" spans="1:3">
      <c r="A99" t="s">
        <v>327</v>
      </c>
      <c r="B99" t="s">
        <v>490</v>
      </c>
      <c r="C99" t="s">
        <v>367</v>
      </c>
    </row>
    <row r="100" spans="1:3">
      <c r="A100" t="s">
        <v>328</v>
      </c>
      <c r="B100" t="s">
        <v>491</v>
      </c>
      <c r="C100" t="s">
        <v>367</v>
      </c>
    </row>
    <row r="101" spans="1:3">
      <c r="A101" t="s">
        <v>330</v>
      </c>
      <c r="B101" t="s">
        <v>492</v>
      </c>
      <c r="C101" t="s">
        <v>367</v>
      </c>
    </row>
    <row r="102" spans="1:3">
      <c r="A102" t="s">
        <v>331</v>
      </c>
      <c r="B102" t="s">
        <v>493</v>
      </c>
      <c r="C102" t="s">
        <v>367</v>
      </c>
    </row>
    <row r="103" spans="1:3">
      <c r="A103" t="s">
        <v>494</v>
      </c>
      <c r="B103" t="s">
        <v>495</v>
      </c>
      <c r="C103" t="s">
        <v>367</v>
      </c>
    </row>
    <row r="104" spans="1:3">
      <c r="A104" t="s">
        <v>496</v>
      </c>
      <c r="B104" t="s">
        <v>497</v>
      </c>
      <c r="C104" t="s">
        <v>367</v>
      </c>
    </row>
    <row r="105" spans="1:3">
      <c r="A105" t="s">
        <v>498</v>
      </c>
      <c r="B105" t="s">
        <v>499</v>
      </c>
      <c r="C105" t="s">
        <v>367</v>
      </c>
    </row>
    <row r="106" spans="1:3">
      <c r="A106" t="s">
        <v>500</v>
      </c>
      <c r="B106" t="s">
        <v>501</v>
      </c>
      <c r="C106" t="s">
        <v>367</v>
      </c>
    </row>
    <row r="107" spans="1:3">
      <c r="A107" t="s">
        <v>20</v>
      </c>
      <c r="B107" t="s">
        <v>502</v>
      </c>
      <c r="C107" t="s">
        <v>367</v>
      </c>
    </row>
    <row r="108" spans="1:3">
      <c r="A108" t="s">
        <v>334</v>
      </c>
      <c r="B108" t="s">
        <v>503</v>
      </c>
      <c r="C108" t="s">
        <v>367</v>
      </c>
    </row>
    <row r="109" spans="1:3">
      <c r="A109" t="s">
        <v>209</v>
      </c>
      <c r="B109" t="s">
        <v>504</v>
      </c>
      <c r="C109" t="s">
        <v>367</v>
      </c>
    </row>
    <row r="110" spans="1:3">
      <c r="A110" t="s">
        <v>214</v>
      </c>
      <c r="B110" t="s">
        <v>505</v>
      </c>
      <c r="C110" t="s">
        <v>367</v>
      </c>
    </row>
    <row r="111" spans="1:3">
      <c r="A111" t="s">
        <v>264</v>
      </c>
      <c r="B111" t="s">
        <v>506</v>
      </c>
      <c r="C111" t="s">
        <v>367</v>
      </c>
    </row>
    <row r="112" spans="1:3">
      <c r="A112" t="s">
        <v>117</v>
      </c>
      <c r="B112" t="s">
        <v>507</v>
      </c>
      <c r="C112" t="s">
        <v>367</v>
      </c>
    </row>
    <row r="113" spans="1:3">
      <c r="A113" t="s">
        <v>350</v>
      </c>
      <c r="B113" t="s">
        <v>351</v>
      </c>
      <c r="C113" t="s">
        <v>367</v>
      </c>
    </row>
    <row r="114" spans="1:3">
      <c r="A114" t="s">
        <v>144</v>
      </c>
      <c r="B114" t="s">
        <v>508</v>
      </c>
      <c r="C114" t="s">
        <v>367</v>
      </c>
    </row>
    <row r="115" spans="1:3">
      <c r="A115" t="s">
        <v>509</v>
      </c>
      <c r="B115" t="s">
        <v>510</v>
      </c>
      <c r="C115" t="s">
        <v>367</v>
      </c>
    </row>
    <row r="116" spans="1:3">
      <c r="A116" t="s">
        <v>114</v>
      </c>
      <c r="B116" t="s">
        <v>511</v>
      </c>
      <c r="C116" t="s">
        <v>367</v>
      </c>
    </row>
    <row r="117" spans="1:3">
      <c r="A117" t="s">
        <v>341</v>
      </c>
      <c r="B117" t="s">
        <v>512</v>
      </c>
      <c r="C117" t="s">
        <v>367</v>
      </c>
    </row>
    <row r="118" spans="1:3">
      <c r="A118" t="s">
        <v>348</v>
      </c>
      <c r="B118" t="s">
        <v>513</v>
      </c>
      <c r="C118" t="s">
        <v>367</v>
      </c>
    </row>
    <row r="119" spans="1:3">
      <c r="A119" t="s">
        <v>161</v>
      </c>
      <c r="B119" t="s">
        <v>514</v>
      </c>
      <c r="C119" t="s">
        <v>367</v>
      </c>
    </row>
    <row r="120" spans="1:3">
      <c r="A120" t="s">
        <v>300</v>
      </c>
      <c r="B120" t="s">
        <v>515</v>
      </c>
      <c r="C120" t="s">
        <v>367</v>
      </c>
    </row>
    <row r="121" spans="1:3">
      <c r="A121" t="s">
        <v>305</v>
      </c>
      <c r="B121" t="s">
        <v>516</v>
      </c>
      <c r="C121" t="s">
        <v>367</v>
      </c>
    </row>
    <row r="122" spans="1:3">
      <c r="A122" t="s">
        <v>260</v>
      </c>
      <c r="B122" t="s">
        <v>517</v>
      </c>
      <c r="C122" t="s">
        <v>367</v>
      </c>
    </row>
    <row r="123" spans="1:3">
      <c r="A123" t="s">
        <v>518</v>
      </c>
      <c r="B123" t="s">
        <v>519</v>
      </c>
      <c r="C123" t="s">
        <v>367</v>
      </c>
    </row>
    <row r="124" spans="1:3">
      <c r="A124" t="s">
        <v>275</v>
      </c>
      <c r="B124" t="s">
        <v>520</v>
      </c>
      <c r="C124" t="s">
        <v>367</v>
      </c>
    </row>
    <row r="125" spans="1:3">
      <c r="A125" t="s">
        <v>97</v>
      </c>
      <c r="B125" t="s">
        <v>521</v>
      </c>
      <c r="C125" t="s">
        <v>367</v>
      </c>
    </row>
    <row r="126" spans="1:3">
      <c r="A126" t="s">
        <v>320</v>
      </c>
      <c r="B126" t="s">
        <v>428</v>
      </c>
      <c r="C126" t="s">
        <v>367</v>
      </c>
    </row>
    <row r="127" spans="1:3">
      <c r="A127" t="s">
        <v>522</v>
      </c>
      <c r="B127" t="s">
        <v>523</v>
      </c>
      <c r="C127" t="s">
        <v>367</v>
      </c>
    </row>
    <row r="128" spans="1:3">
      <c r="A128" t="s">
        <v>118</v>
      </c>
      <c r="B128" t="s">
        <v>524</v>
      </c>
      <c r="C128" t="s">
        <v>367</v>
      </c>
    </row>
    <row r="129" spans="1:3">
      <c r="A129" t="s">
        <v>525</v>
      </c>
      <c r="B129" t="s">
        <v>526</v>
      </c>
      <c r="C129" t="s">
        <v>367</v>
      </c>
    </row>
    <row r="130" spans="1:3">
      <c r="A130" t="s">
        <v>527</v>
      </c>
      <c r="B130" t="s">
        <v>528</v>
      </c>
      <c r="C130" t="s">
        <v>367</v>
      </c>
    </row>
    <row r="131" spans="1:3">
      <c r="A131" t="s">
        <v>133</v>
      </c>
      <c r="B131" t="s">
        <v>529</v>
      </c>
      <c r="C131" t="s">
        <v>367</v>
      </c>
    </row>
    <row r="132" spans="1:3">
      <c r="A132" t="s">
        <v>132</v>
      </c>
      <c r="B132" t="s">
        <v>530</v>
      </c>
      <c r="C132" t="s">
        <v>367</v>
      </c>
    </row>
    <row r="133" spans="1:3">
      <c r="A133" t="s">
        <v>339</v>
      </c>
      <c r="B133" t="s">
        <v>531</v>
      </c>
      <c r="C133" t="s">
        <v>367</v>
      </c>
    </row>
    <row r="134" spans="1:3">
      <c r="A134" t="s">
        <v>307</v>
      </c>
      <c r="B134" t="s">
        <v>532</v>
      </c>
      <c r="C134" t="s">
        <v>367</v>
      </c>
    </row>
    <row r="135" spans="1:3">
      <c r="A135" t="s">
        <v>533</v>
      </c>
      <c r="B135" t="s">
        <v>534</v>
      </c>
      <c r="C135" t="s">
        <v>367</v>
      </c>
    </row>
    <row r="136" spans="1:3">
      <c r="A136" t="s">
        <v>173</v>
      </c>
      <c r="B136" t="s">
        <v>535</v>
      </c>
      <c r="C136" t="s">
        <v>367</v>
      </c>
    </row>
    <row r="137" spans="1:3">
      <c r="A137" t="s">
        <v>259</v>
      </c>
      <c r="B137" t="s">
        <v>536</v>
      </c>
      <c r="C137" t="s">
        <v>367</v>
      </c>
    </row>
    <row r="138" spans="1:3">
      <c r="A138" t="s">
        <v>537</v>
      </c>
      <c r="B138" t="s">
        <v>538</v>
      </c>
      <c r="C138" t="s">
        <v>367</v>
      </c>
    </row>
    <row r="139" spans="1:3">
      <c r="A139" t="s">
        <v>352</v>
      </c>
      <c r="B139" t="s">
        <v>539</v>
      </c>
      <c r="C139" t="s">
        <v>367</v>
      </c>
    </row>
    <row r="140" spans="1:3">
      <c r="A140" t="s">
        <v>540</v>
      </c>
      <c r="B140" t="s">
        <v>541</v>
      </c>
      <c r="C140" t="s">
        <v>367</v>
      </c>
    </row>
    <row r="141" spans="1:3">
      <c r="A141" t="s">
        <v>542</v>
      </c>
      <c r="B141" t="s">
        <v>543</v>
      </c>
      <c r="C141" t="s">
        <v>367</v>
      </c>
    </row>
    <row r="142" spans="1:3">
      <c r="A142" t="s">
        <v>544</v>
      </c>
      <c r="B142" t="s">
        <v>545</v>
      </c>
      <c r="C142" t="s">
        <v>367</v>
      </c>
    </row>
    <row r="143" spans="1:3">
      <c r="A143" t="s">
        <v>546</v>
      </c>
      <c r="B143" t="s">
        <v>547</v>
      </c>
      <c r="C143" t="s">
        <v>367</v>
      </c>
    </row>
    <row r="144" spans="1:3">
      <c r="A144" t="s">
        <v>548</v>
      </c>
      <c r="B144" t="s">
        <v>545</v>
      </c>
      <c r="C144" t="s">
        <v>367</v>
      </c>
    </row>
    <row r="145" spans="1:3">
      <c r="A145" t="s">
        <v>146</v>
      </c>
      <c r="B145" t="s">
        <v>549</v>
      </c>
      <c r="C145" t="s">
        <v>367</v>
      </c>
    </row>
    <row r="146" spans="1:3">
      <c r="A146" t="s">
        <v>136</v>
      </c>
      <c r="B146" t="s">
        <v>550</v>
      </c>
      <c r="C146" t="s">
        <v>367</v>
      </c>
    </row>
    <row r="147" spans="1:3">
      <c r="A147" t="s">
        <v>121</v>
      </c>
      <c r="B147" t="s">
        <v>551</v>
      </c>
      <c r="C147" t="s">
        <v>367</v>
      </c>
    </row>
    <row r="148" spans="1:3">
      <c r="A148" t="s">
        <v>6</v>
      </c>
      <c r="B148" t="s">
        <v>552</v>
      </c>
      <c r="C148" t="s">
        <v>367</v>
      </c>
    </row>
    <row r="149" spans="1:3">
      <c r="A149" t="s">
        <v>1</v>
      </c>
      <c r="B149" t="s">
        <v>553</v>
      </c>
      <c r="C149" t="s">
        <v>367</v>
      </c>
    </row>
    <row r="150" spans="1:3">
      <c r="A150" t="s">
        <v>554</v>
      </c>
      <c r="B150" t="s">
        <v>555</v>
      </c>
      <c r="C150" t="s">
        <v>367</v>
      </c>
    </row>
    <row r="151" spans="1:3">
      <c r="A151" t="s">
        <v>556</v>
      </c>
      <c r="B151" t="s">
        <v>557</v>
      </c>
      <c r="C151" t="s">
        <v>367</v>
      </c>
    </row>
    <row r="152" spans="1:3">
      <c r="A152" t="s">
        <v>21</v>
      </c>
      <c r="B152" t="s">
        <v>558</v>
      </c>
      <c r="C152" t="s">
        <v>367</v>
      </c>
    </row>
    <row r="153" spans="1:3">
      <c r="A153" t="s">
        <v>268</v>
      </c>
      <c r="B153" t="s">
        <v>559</v>
      </c>
      <c r="C153" t="s">
        <v>367</v>
      </c>
    </row>
    <row r="154" spans="1:3">
      <c r="A154" t="s">
        <v>135</v>
      </c>
      <c r="B154" t="s">
        <v>560</v>
      </c>
      <c r="C154" t="s">
        <v>367</v>
      </c>
    </row>
    <row r="155" spans="1:3">
      <c r="A155" t="s">
        <v>127</v>
      </c>
      <c r="B155" t="s">
        <v>561</v>
      </c>
      <c r="C155" t="s">
        <v>367</v>
      </c>
    </row>
    <row r="156" spans="1:3">
      <c r="A156" t="s">
        <v>311</v>
      </c>
      <c r="B156" t="s">
        <v>562</v>
      </c>
      <c r="C156" t="s">
        <v>367</v>
      </c>
    </row>
    <row r="157" spans="1:3">
      <c r="A157" t="s">
        <v>313</v>
      </c>
      <c r="B157" t="s">
        <v>563</v>
      </c>
      <c r="C157" t="s">
        <v>367</v>
      </c>
    </row>
    <row r="158" spans="1:3">
      <c r="A158" t="s">
        <v>3</v>
      </c>
      <c r="B158" t="s">
        <v>564</v>
      </c>
      <c r="C158" t="s">
        <v>367</v>
      </c>
    </row>
    <row r="159" spans="1:3">
      <c r="A159" t="s">
        <v>565</v>
      </c>
      <c r="B159" t="s">
        <v>566</v>
      </c>
      <c r="C159" t="s">
        <v>367</v>
      </c>
    </row>
    <row r="160" spans="1:3">
      <c r="A160" t="s">
        <v>304</v>
      </c>
      <c r="B160" t="s">
        <v>567</v>
      </c>
      <c r="C160" t="s">
        <v>367</v>
      </c>
    </row>
    <row r="161" spans="1:3">
      <c r="A161" t="s">
        <v>57</v>
      </c>
      <c r="B161" t="s">
        <v>568</v>
      </c>
      <c r="C161" t="s">
        <v>367</v>
      </c>
    </row>
    <row r="162" spans="1:3">
      <c r="A162" t="s">
        <v>284</v>
      </c>
      <c r="B162" t="s">
        <v>569</v>
      </c>
      <c r="C162" t="s">
        <v>367</v>
      </c>
    </row>
    <row r="163" spans="1:3">
      <c r="A163" t="s">
        <v>287</v>
      </c>
      <c r="B163" t="s">
        <v>570</v>
      </c>
      <c r="C163" t="s">
        <v>367</v>
      </c>
    </row>
    <row r="164" spans="1:3">
      <c r="A164" t="s">
        <v>281</v>
      </c>
      <c r="B164" t="s">
        <v>571</v>
      </c>
      <c r="C164" t="s">
        <v>367</v>
      </c>
    </row>
    <row r="165" spans="1:3">
      <c r="A165" t="s">
        <v>572</v>
      </c>
      <c r="B165" t="s">
        <v>573</v>
      </c>
      <c r="C165" t="s">
        <v>367</v>
      </c>
    </row>
    <row r="166" spans="1:3">
      <c r="A166" t="s">
        <v>255</v>
      </c>
      <c r="B166" t="s">
        <v>574</v>
      </c>
      <c r="C166" t="s">
        <v>367</v>
      </c>
    </row>
    <row r="167" spans="1:3">
      <c r="A167" t="s">
        <v>257</v>
      </c>
      <c r="B167" t="s">
        <v>575</v>
      </c>
      <c r="C167" t="s">
        <v>367</v>
      </c>
    </row>
    <row r="168" spans="1:3">
      <c r="A168" t="s">
        <v>576</v>
      </c>
      <c r="B168" t="s">
        <v>577</v>
      </c>
      <c r="C168" t="s">
        <v>367</v>
      </c>
    </row>
    <row r="169" spans="1:3">
      <c r="A169" t="s">
        <v>238</v>
      </c>
      <c r="B169" t="s">
        <v>578</v>
      </c>
      <c r="C169" t="s">
        <v>367</v>
      </c>
    </row>
    <row r="170" spans="1:3">
      <c r="A170" t="s">
        <v>285</v>
      </c>
      <c r="B170" t="s">
        <v>579</v>
      </c>
      <c r="C170" t="s">
        <v>367</v>
      </c>
    </row>
    <row r="171" spans="1:3">
      <c r="A171" t="s">
        <v>197</v>
      </c>
      <c r="B171" t="s">
        <v>580</v>
      </c>
      <c r="C171" t="s">
        <v>367</v>
      </c>
    </row>
    <row r="172" spans="1:3">
      <c r="A172" t="s">
        <v>581</v>
      </c>
      <c r="B172" t="s">
        <v>582</v>
      </c>
      <c r="C172" t="s">
        <v>367</v>
      </c>
    </row>
    <row r="173" spans="1:3">
      <c r="A173" t="s">
        <v>230</v>
      </c>
      <c r="B173" t="s">
        <v>583</v>
      </c>
      <c r="C173" t="s">
        <v>367</v>
      </c>
    </row>
    <row r="174" spans="1:3">
      <c r="A174" t="s">
        <v>208</v>
      </c>
      <c r="B174" t="s">
        <v>584</v>
      </c>
      <c r="C174" t="s">
        <v>367</v>
      </c>
    </row>
    <row r="175" spans="1:3">
      <c r="A175" t="s">
        <v>585</v>
      </c>
      <c r="B175" t="s">
        <v>586</v>
      </c>
      <c r="C175" t="s">
        <v>367</v>
      </c>
    </row>
    <row r="176" spans="1:3">
      <c r="A176" t="s">
        <v>587</v>
      </c>
      <c r="B176" t="s">
        <v>588</v>
      </c>
      <c r="C176" t="s">
        <v>367</v>
      </c>
    </row>
    <row r="177" spans="1:3">
      <c r="A177" t="s">
        <v>14</v>
      </c>
      <c r="B177" t="s">
        <v>589</v>
      </c>
      <c r="C177" t="s">
        <v>367</v>
      </c>
    </row>
    <row r="178" spans="1:3">
      <c r="A178" t="s">
        <v>28</v>
      </c>
      <c r="B178" t="s">
        <v>590</v>
      </c>
      <c r="C178" t="s">
        <v>367</v>
      </c>
    </row>
    <row r="179" spans="1:3">
      <c r="A179" t="s">
        <v>274</v>
      </c>
      <c r="B179" t="s">
        <v>591</v>
      </c>
      <c r="C179" t="s">
        <v>367</v>
      </c>
    </row>
    <row r="180" spans="1:3">
      <c r="A180" t="s">
        <v>332</v>
      </c>
      <c r="B180" t="s">
        <v>592</v>
      </c>
      <c r="C180" t="s">
        <v>367</v>
      </c>
    </row>
    <row r="181" spans="1:3">
      <c r="A181" t="s">
        <v>333</v>
      </c>
      <c r="B181" t="s">
        <v>593</v>
      </c>
      <c r="C181" t="s">
        <v>367</v>
      </c>
    </row>
    <row r="182" spans="1:3">
      <c r="A182" t="s">
        <v>319</v>
      </c>
      <c r="B182" t="s">
        <v>594</v>
      </c>
      <c r="C182" t="s">
        <v>367</v>
      </c>
    </row>
    <row r="183" spans="1:3">
      <c r="A183" t="s">
        <v>225</v>
      </c>
      <c r="B183" t="s">
        <v>595</v>
      </c>
      <c r="C183" t="s">
        <v>367</v>
      </c>
    </row>
    <row r="184" spans="1:3">
      <c r="A184" t="s">
        <v>596</v>
      </c>
      <c r="B184" t="s">
        <v>578</v>
      </c>
      <c r="C184" t="s">
        <v>367</v>
      </c>
    </row>
    <row r="185" spans="1:3">
      <c r="A185" t="s">
        <v>276</v>
      </c>
      <c r="B185" t="s">
        <v>597</v>
      </c>
      <c r="C185" t="s">
        <v>367</v>
      </c>
    </row>
    <row r="186" spans="1:3">
      <c r="A186" t="s">
        <v>598</v>
      </c>
      <c r="B186" t="s">
        <v>599</v>
      </c>
      <c r="C186" t="s">
        <v>367</v>
      </c>
    </row>
    <row r="187" spans="1:3">
      <c r="A187" t="s">
        <v>234</v>
      </c>
      <c r="B187" t="s">
        <v>600</v>
      </c>
      <c r="C187" t="s">
        <v>367</v>
      </c>
    </row>
    <row r="188" spans="1:3">
      <c r="A188" t="s">
        <v>24</v>
      </c>
      <c r="B188" t="s">
        <v>601</v>
      </c>
      <c r="C188" t="s">
        <v>367</v>
      </c>
    </row>
    <row r="189" spans="1:3">
      <c r="A189" t="s">
        <v>602</v>
      </c>
      <c r="B189" t="s">
        <v>603</v>
      </c>
      <c r="C189" t="s">
        <v>367</v>
      </c>
    </row>
    <row r="190" spans="1:3">
      <c r="A190" t="s">
        <v>123</v>
      </c>
      <c r="B190" t="s">
        <v>604</v>
      </c>
      <c r="C190" t="s">
        <v>367</v>
      </c>
    </row>
    <row r="191" spans="1:3">
      <c r="A191" t="s">
        <v>211</v>
      </c>
      <c r="B191" t="s">
        <v>605</v>
      </c>
      <c r="C191" t="s">
        <v>367</v>
      </c>
    </row>
    <row r="192" spans="1:3">
      <c r="A192" t="s">
        <v>210</v>
      </c>
      <c r="B192" t="s">
        <v>606</v>
      </c>
      <c r="C192" t="s">
        <v>367</v>
      </c>
    </row>
    <row r="193" spans="1:3">
      <c r="A193" t="s">
        <v>607</v>
      </c>
      <c r="B193" t="s">
        <v>608</v>
      </c>
      <c r="C193" t="s">
        <v>367</v>
      </c>
    </row>
    <row r="194" spans="1:3">
      <c r="A194" t="s">
        <v>309</v>
      </c>
      <c r="B194" t="s">
        <v>609</v>
      </c>
      <c r="C194" t="s">
        <v>367</v>
      </c>
    </row>
    <row r="195" spans="1:3">
      <c r="A195" t="s">
        <v>258</v>
      </c>
      <c r="B195" t="s">
        <v>610</v>
      </c>
      <c r="C195" t="s">
        <v>367</v>
      </c>
    </row>
    <row r="196" spans="1:3">
      <c r="A196" t="s">
        <v>611</v>
      </c>
      <c r="B196" t="s">
        <v>612</v>
      </c>
      <c r="C196" t="s">
        <v>367</v>
      </c>
    </row>
    <row r="197" spans="1:3">
      <c r="A197" t="s">
        <v>310</v>
      </c>
      <c r="B197" t="s">
        <v>613</v>
      </c>
      <c r="C197" t="s">
        <v>367</v>
      </c>
    </row>
    <row r="198" spans="1:3">
      <c r="A198" t="s">
        <v>278</v>
      </c>
      <c r="B198" t="s">
        <v>614</v>
      </c>
      <c r="C198" t="s">
        <v>367</v>
      </c>
    </row>
    <row r="199" spans="1:3">
      <c r="A199" t="s">
        <v>11</v>
      </c>
      <c r="B199" t="s">
        <v>615</v>
      </c>
      <c r="C199" t="s">
        <v>367</v>
      </c>
    </row>
    <row r="200" spans="1:3">
      <c r="A200" t="s">
        <v>616</v>
      </c>
      <c r="B200" t="s">
        <v>617</v>
      </c>
      <c r="C200" t="s">
        <v>367</v>
      </c>
    </row>
    <row r="201" spans="1:3">
      <c r="A201" t="s">
        <v>618</v>
      </c>
      <c r="B201" t="s">
        <v>619</v>
      </c>
      <c r="C201" t="s">
        <v>367</v>
      </c>
    </row>
    <row r="202" spans="1:3">
      <c r="A202" t="s">
        <v>283</v>
      </c>
      <c r="B202" t="s">
        <v>569</v>
      </c>
      <c r="C202" t="s">
        <v>367</v>
      </c>
    </row>
    <row r="203" spans="1:3">
      <c r="A203" t="s">
        <v>620</v>
      </c>
      <c r="B203" t="s">
        <v>621</v>
      </c>
      <c r="C203" t="s">
        <v>367</v>
      </c>
    </row>
    <row r="204" spans="1:3">
      <c r="A204" t="s">
        <v>232</v>
      </c>
      <c r="B204" t="s">
        <v>471</v>
      </c>
      <c r="C204" t="s">
        <v>367</v>
      </c>
    </row>
    <row r="205" spans="1:3">
      <c r="A205" t="s">
        <v>622</v>
      </c>
      <c r="B205" t="s">
        <v>623</v>
      </c>
      <c r="C205" t="s">
        <v>367</v>
      </c>
    </row>
    <row r="206" spans="1:3">
      <c r="A206" t="s">
        <v>624</v>
      </c>
      <c r="B206" t="s">
        <v>625</v>
      </c>
      <c r="C206" t="s">
        <v>367</v>
      </c>
    </row>
    <row r="207" spans="1:3">
      <c r="A207" t="s">
        <v>95</v>
      </c>
      <c r="B207" t="s">
        <v>626</v>
      </c>
      <c r="C207" t="s">
        <v>367</v>
      </c>
    </row>
    <row r="208" spans="1:3">
      <c r="A208" t="s">
        <v>627</v>
      </c>
      <c r="B208" t="s">
        <v>628</v>
      </c>
      <c r="C208" t="s">
        <v>367</v>
      </c>
    </row>
    <row r="209" spans="1:3">
      <c r="A209" t="s">
        <v>629</v>
      </c>
      <c r="B209" t="s">
        <v>630</v>
      </c>
      <c r="C209" t="s">
        <v>367</v>
      </c>
    </row>
    <row r="210" spans="1:3">
      <c r="A210" t="s">
        <v>292</v>
      </c>
      <c r="B210" t="s">
        <v>631</v>
      </c>
      <c r="C210" t="s">
        <v>367</v>
      </c>
    </row>
    <row r="211" spans="1:3">
      <c r="A211" t="s">
        <v>632</v>
      </c>
      <c r="B211" t="s">
        <v>633</v>
      </c>
      <c r="C211" t="s">
        <v>367</v>
      </c>
    </row>
    <row r="212" spans="1:3">
      <c r="A212" t="s">
        <v>82</v>
      </c>
      <c r="B212" t="s">
        <v>634</v>
      </c>
      <c r="C212" t="s">
        <v>367</v>
      </c>
    </row>
    <row r="213" spans="1:3">
      <c r="A213" t="s">
        <v>635</v>
      </c>
      <c r="B213" t="s">
        <v>636</v>
      </c>
      <c r="C213" t="s">
        <v>367</v>
      </c>
    </row>
    <row r="214" spans="1:3">
      <c r="A214" t="s">
        <v>218</v>
      </c>
      <c r="B214" t="s">
        <v>637</v>
      </c>
      <c r="C214" t="s">
        <v>367</v>
      </c>
    </row>
    <row r="215" spans="1:3">
      <c r="A215" t="s">
        <v>638</v>
      </c>
      <c r="B215" t="s">
        <v>639</v>
      </c>
      <c r="C215" t="s">
        <v>367</v>
      </c>
    </row>
    <row r="216" spans="1:3">
      <c r="A216" t="s">
        <v>87</v>
      </c>
      <c r="B216" t="s">
        <v>640</v>
      </c>
      <c r="C216" t="s">
        <v>367</v>
      </c>
    </row>
    <row r="217" spans="1:3">
      <c r="A217" t="s">
        <v>641</v>
      </c>
      <c r="B217" t="s">
        <v>642</v>
      </c>
      <c r="C217" t="s">
        <v>367</v>
      </c>
    </row>
    <row r="218" spans="1:3">
      <c r="A218" t="s">
        <v>354</v>
      </c>
      <c r="B218" t="s">
        <v>643</v>
      </c>
      <c r="C218" t="s">
        <v>367</v>
      </c>
    </row>
    <row r="219" spans="1:3">
      <c r="A219" t="s">
        <v>137</v>
      </c>
      <c r="B219" t="s">
        <v>644</v>
      </c>
      <c r="C219" t="s">
        <v>367</v>
      </c>
    </row>
    <row r="220" spans="1:3">
      <c r="A220" t="s">
        <v>645</v>
      </c>
      <c r="B220" t="s">
        <v>646</v>
      </c>
      <c r="C220" t="s">
        <v>367</v>
      </c>
    </row>
    <row r="221" spans="1:3">
      <c r="A221" t="s">
        <v>647</v>
      </c>
      <c r="B221" t="s">
        <v>648</v>
      </c>
      <c r="C221" t="s">
        <v>367</v>
      </c>
    </row>
    <row r="222" spans="1:3">
      <c r="A222" t="s">
        <v>271</v>
      </c>
      <c r="B222" t="s">
        <v>649</v>
      </c>
      <c r="C222" t="s">
        <v>367</v>
      </c>
    </row>
    <row r="223" spans="1:3">
      <c r="A223" t="s">
        <v>650</v>
      </c>
      <c r="B223" t="s">
        <v>651</v>
      </c>
      <c r="C223" t="s">
        <v>367</v>
      </c>
    </row>
    <row r="224" spans="1:3">
      <c r="A224" t="s">
        <v>652</v>
      </c>
      <c r="B224" t="s">
        <v>653</v>
      </c>
      <c r="C224" t="s">
        <v>367</v>
      </c>
    </row>
    <row r="225" spans="1:3">
      <c r="A225" t="s">
        <v>654</v>
      </c>
      <c r="B225" t="s">
        <v>655</v>
      </c>
      <c r="C225" t="s">
        <v>367</v>
      </c>
    </row>
    <row r="226" spans="1:3">
      <c r="A226" t="s">
        <v>656</v>
      </c>
      <c r="B226" t="s">
        <v>657</v>
      </c>
      <c r="C226" t="s">
        <v>367</v>
      </c>
    </row>
    <row r="227" spans="1:3">
      <c r="A227" t="s">
        <v>658</v>
      </c>
      <c r="B227" t="s">
        <v>659</v>
      </c>
      <c r="C227" t="s">
        <v>367</v>
      </c>
    </row>
    <row r="228" spans="1:3">
      <c r="A228" t="s">
        <v>242</v>
      </c>
      <c r="B228" t="s">
        <v>660</v>
      </c>
      <c r="C228" t="s">
        <v>367</v>
      </c>
    </row>
    <row r="229" spans="1:3">
      <c r="A229" t="s">
        <v>661</v>
      </c>
      <c r="B229" t="s">
        <v>662</v>
      </c>
      <c r="C229" t="s">
        <v>367</v>
      </c>
    </row>
    <row r="230" spans="1:3">
      <c r="A230" t="s">
        <v>18</v>
      </c>
      <c r="B230" t="s">
        <v>663</v>
      </c>
      <c r="C230" t="s">
        <v>367</v>
      </c>
    </row>
    <row r="231" spans="1:3">
      <c r="A231" t="s">
        <v>100</v>
      </c>
      <c r="B231" t="s">
        <v>664</v>
      </c>
      <c r="C231" t="s">
        <v>367</v>
      </c>
    </row>
    <row r="232" spans="1:3">
      <c r="A232" t="s">
        <v>91</v>
      </c>
      <c r="B232" t="s">
        <v>665</v>
      </c>
      <c r="C232" t="s">
        <v>367</v>
      </c>
    </row>
    <row r="233" spans="1:3">
      <c r="A233" t="s">
        <v>666</v>
      </c>
      <c r="B233" t="s">
        <v>667</v>
      </c>
      <c r="C233" t="s">
        <v>367</v>
      </c>
    </row>
    <row r="234" spans="1:3">
      <c r="A234" t="s">
        <v>668</v>
      </c>
      <c r="B234" t="s">
        <v>669</v>
      </c>
      <c r="C234" t="s">
        <v>367</v>
      </c>
    </row>
    <row r="235" spans="1:3">
      <c r="A235" t="s">
        <v>270</v>
      </c>
      <c r="B235" t="s">
        <v>670</v>
      </c>
      <c r="C235" t="s">
        <v>367</v>
      </c>
    </row>
    <row r="236" spans="1:3">
      <c r="A236" t="s">
        <v>308</v>
      </c>
      <c r="B236" t="s">
        <v>671</v>
      </c>
      <c r="C236" t="s">
        <v>367</v>
      </c>
    </row>
    <row r="237" spans="1:3">
      <c r="A237" t="s">
        <v>212</v>
      </c>
      <c r="B237" t="s">
        <v>672</v>
      </c>
      <c r="C237" t="s">
        <v>367</v>
      </c>
    </row>
    <row r="238" spans="1:3">
      <c r="A238" t="s">
        <v>338</v>
      </c>
      <c r="B238" t="s">
        <v>673</v>
      </c>
      <c r="C238" t="s">
        <v>367</v>
      </c>
    </row>
    <row r="239" spans="1:3">
      <c r="A239" t="s">
        <v>314</v>
      </c>
      <c r="B239" t="s">
        <v>674</v>
      </c>
      <c r="C239" t="s">
        <v>367</v>
      </c>
    </row>
    <row r="240" spans="1:3">
      <c r="A240" t="s">
        <v>58</v>
      </c>
      <c r="B240" t="s">
        <v>675</v>
      </c>
      <c r="C240" t="s">
        <v>367</v>
      </c>
    </row>
    <row r="241" spans="1:3">
      <c r="A241" t="s">
        <v>247</v>
      </c>
      <c r="B241" t="s">
        <v>676</v>
      </c>
      <c r="C241" t="s">
        <v>367</v>
      </c>
    </row>
    <row r="242" spans="1:3">
      <c r="A242" t="s">
        <v>677</v>
      </c>
      <c r="B242" t="s">
        <v>678</v>
      </c>
      <c r="C242" t="s">
        <v>367</v>
      </c>
    </row>
    <row r="243" spans="1:3">
      <c r="A243" t="s">
        <v>134</v>
      </c>
      <c r="B243" t="s">
        <v>679</v>
      </c>
      <c r="C243" t="s">
        <v>367</v>
      </c>
    </row>
    <row r="244" spans="1:3">
      <c r="A244" t="s">
        <v>680</v>
      </c>
      <c r="B244" t="s">
        <v>681</v>
      </c>
      <c r="C244" t="s">
        <v>367</v>
      </c>
    </row>
    <row r="245" spans="1:3">
      <c r="A245" t="s">
        <v>362</v>
      </c>
      <c r="B245" t="s">
        <v>682</v>
      </c>
      <c r="C245" t="s">
        <v>367</v>
      </c>
    </row>
    <row r="246" spans="1:3">
      <c r="A246" t="s">
        <v>152</v>
      </c>
      <c r="B246" t="s">
        <v>683</v>
      </c>
      <c r="C246" t="s">
        <v>367</v>
      </c>
    </row>
    <row r="247" spans="1:3">
      <c r="A247" t="s">
        <v>154</v>
      </c>
      <c r="B247" t="s">
        <v>684</v>
      </c>
      <c r="C247" t="s">
        <v>367</v>
      </c>
    </row>
    <row r="248" spans="1:3">
      <c r="A248" t="s">
        <v>356</v>
      </c>
      <c r="B248" t="s">
        <v>685</v>
      </c>
      <c r="C248" t="s">
        <v>367</v>
      </c>
    </row>
    <row r="249" spans="1:3">
      <c r="A249" t="s">
        <v>357</v>
      </c>
      <c r="B249" t="s">
        <v>686</v>
      </c>
      <c r="C249" t="s">
        <v>367</v>
      </c>
    </row>
    <row r="250" spans="1:3">
      <c r="A250" t="s">
        <v>687</v>
      </c>
      <c r="B250" t="s">
        <v>688</v>
      </c>
      <c r="C250" t="s">
        <v>367</v>
      </c>
    </row>
    <row r="251" spans="1:3">
      <c r="A251" t="s">
        <v>166</v>
      </c>
      <c r="B251" t="s">
        <v>689</v>
      </c>
      <c r="C251" t="s">
        <v>367</v>
      </c>
    </row>
    <row r="252" spans="1:3">
      <c r="A252" t="s">
        <v>343</v>
      </c>
      <c r="B252" t="s">
        <v>690</v>
      </c>
      <c r="C252" t="s">
        <v>367</v>
      </c>
    </row>
    <row r="253" spans="1:3">
      <c r="A253" t="s">
        <v>691</v>
      </c>
      <c r="B253" t="s">
        <v>692</v>
      </c>
      <c r="C253" t="s">
        <v>367</v>
      </c>
    </row>
    <row r="254" spans="1:3">
      <c r="A254" t="s">
        <v>163</v>
      </c>
      <c r="B254" t="s">
        <v>693</v>
      </c>
      <c r="C254" t="s">
        <v>367</v>
      </c>
    </row>
    <row r="255" spans="1:3">
      <c r="A255" t="s">
        <v>360</v>
      </c>
      <c r="B255" t="s">
        <v>694</v>
      </c>
      <c r="C255" t="s">
        <v>367</v>
      </c>
    </row>
    <row r="256" spans="1:3">
      <c r="A256" t="s">
        <v>358</v>
      </c>
      <c r="B256" t="s">
        <v>695</v>
      </c>
      <c r="C256" t="s">
        <v>367</v>
      </c>
    </row>
    <row r="257" spans="1:3">
      <c r="A257" t="s">
        <v>361</v>
      </c>
      <c r="B257" t="s">
        <v>696</v>
      </c>
      <c r="C257" t="s">
        <v>367</v>
      </c>
    </row>
    <row r="258" spans="1:3">
      <c r="A258" t="s">
        <v>359</v>
      </c>
      <c r="B258" t="s">
        <v>697</v>
      </c>
      <c r="C258" t="s">
        <v>367</v>
      </c>
    </row>
    <row r="259" spans="1:3">
      <c r="A259" t="s">
        <v>698</v>
      </c>
      <c r="B259" t="s">
        <v>699</v>
      </c>
      <c r="C259" t="s">
        <v>367</v>
      </c>
    </row>
    <row r="260" spans="1:3">
      <c r="A260" t="s">
        <v>167</v>
      </c>
      <c r="B260" t="s">
        <v>700</v>
      </c>
      <c r="C260" t="s">
        <v>367</v>
      </c>
    </row>
    <row r="261" spans="1:3">
      <c r="A261" t="s">
        <v>90</v>
      </c>
      <c r="B261" t="s">
        <v>701</v>
      </c>
      <c r="C261" t="s">
        <v>367</v>
      </c>
    </row>
    <row r="262" spans="1:3">
      <c r="A262" t="s">
        <v>156</v>
      </c>
      <c r="B262" t="s">
        <v>702</v>
      </c>
      <c r="C262" t="s">
        <v>367</v>
      </c>
    </row>
    <row r="263" spans="1:3">
      <c r="A263" t="s">
        <v>158</v>
      </c>
      <c r="B263" t="s">
        <v>703</v>
      </c>
      <c r="C263" t="s">
        <v>367</v>
      </c>
    </row>
    <row r="264" spans="1:3">
      <c r="A264" t="s">
        <v>165</v>
      </c>
      <c r="B264" t="s">
        <v>704</v>
      </c>
      <c r="C264" t="s">
        <v>367</v>
      </c>
    </row>
    <row r="265" spans="1:3">
      <c r="A265" t="s">
        <v>164</v>
      </c>
      <c r="B265" t="s">
        <v>705</v>
      </c>
      <c r="C265" t="s">
        <v>367</v>
      </c>
    </row>
    <row r="266" spans="1:3">
      <c r="A266" t="s">
        <v>150</v>
      </c>
      <c r="B266" t="s">
        <v>706</v>
      </c>
      <c r="C266" t="s">
        <v>367</v>
      </c>
    </row>
    <row r="267" spans="1:3">
      <c r="A267" t="s">
        <v>151</v>
      </c>
      <c r="B267" t="s">
        <v>707</v>
      </c>
      <c r="C267" t="s">
        <v>367</v>
      </c>
    </row>
    <row r="268" spans="1:3">
      <c r="A268" t="s">
        <v>169</v>
      </c>
      <c r="B268" t="s">
        <v>708</v>
      </c>
      <c r="C268" t="s">
        <v>367</v>
      </c>
    </row>
    <row r="269" spans="1:3">
      <c r="A269" t="s">
        <v>168</v>
      </c>
      <c r="B269" t="s">
        <v>709</v>
      </c>
      <c r="C269" t="s">
        <v>367</v>
      </c>
    </row>
    <row r="270" spans="1:3">
      <c r="A270" t="s">
        <v>710</v>
      </c>
      <c r="B270" t="s">
        <v>711</v>
      </c>
      <c r="C270" t="s">
        <v>367</v>
      </c>
    </row>
    <row r="271" spans="1:3">
      <c r="A271" t="s">
        <v>712</v>
      </c>
      <c r="B271" t="s">
        <v>713</v>
      </c>
      <c r="C271" t="s">
        <v>367</v>
      </c>
    </row>
    <row r="272" spans="1:3">
      <c r="A272" t="s">
        <v>269</v>
      </c>
      <c r="B272" t="s">
        <v>714</v>
      </c>
      <c r="C272" t="s">
        <v>367</v>
      </c>
    </row>
    <row r="273" spans="1:3">
      <c r="A273" t="s">
        <v>265</v>
      </c>
      <c r="B273" t="s">
        <v>715</v>
      </c>
      <c r="C273" t="s">
        <v>367</v>
      </c>
    </row>
    <row r="274" spans="1:3">
      <c r="A274" t="s">
        <v>267</v>
      </c>
      <c r="B274" t="s">
        <v>716</v>
      </c>
      <c r="C274" t="s">
        <v>367</v>
      </c>
    </row>
    <row r="275" spans="1:3">
      <c r="A275" t="s">
        <v>717</v>
      </c>
      <c r="B275" t="s">
        <v>718</v>
      </c>
      <c r="C275" t="s">
        <v>367</v>
      </c>
    </row>
    <row r="276" spans="1:3">
      <c r="A276" t="s">
        <v>719</v>
      </c>
      <c r="B276" t="s">
        <v>720</v>
      </c>
      <c r="C276" t="s">
        <v>367</v>
      </c>
    </row>
    <row r="277" spans="1:3">
      <c r="A277" t="s">
        <v>721</v>
      </c>
      <c r="B277" t="s">
        <v>722</v>
      </c>
      <c r="C277" t="s">
        <v>367</v>
      </c>
    </row>
    <row r="278" spans="1:3">
      <c r="A278" t="s">
        <v>723</v>
      </c>
      <c r="B278" t="s">
        <v>724</v>
      </c>
      <c r="C278" t="s">
        <v>367</v>
      </c>
    </row>
    <row r="279" spans="1:3">
      <c r="A279" t="s">
        <v>725</v>
      </c>
      <c r="B279" t="s">
        <v>726</v>
      </c>
      <c r="C279" t="s">
        <v>367</v>
      </c>
    </row>
    <row r="280" spans="1:3">
      <c r="A280" t="s">
        <v>727</v>
      </c>
      <c r="B280" t="s">
        <v>728</v>
      </c>
      <c r="C280" t="s">
        <v>367</v>
      </c>
    </row>
    <row r="281" spans="1:3">
      <c r="A281" t="s">
        <v>729</v>
      </c>
      <c r="B281" t="s">
        <v>730</v>
      </c>
      <c r="C281" t="s">
        <v>367</v>
      </c>
    </row>
    <row r="282" spans="1:3">
      <c r="A282" t="s">
        <v>731</v>
      </c>
      <c r="B282" t="s">
        <v>732</v>
      </c>
      <c r="C282" t="s">
        <v>367</v>
      </c>
    </row>
    <row r="283" spans="1:3">
      <c r="A283" t="s">
        <v>733</v>
      </c>
      <c r="B283" t="s">
        <v>734</v>
      </c>
      <c r="C283" t="s">
        <v>367</v>
      </c>
    </row>
    <row r="284" spans="1:3">
      <c r="A284" t="s">
        <v>735</v>
      </c>
      <c r="B284" t="s">
        <v>736</v>
      </c>
      <c r="C284" t="s">
        <v>367</v>
      </c>
    </row>
    <row r="285" spans="1:3">
      <c r="A285" t="s">
        <v>737</v>
      </c>
      <c r="B285" t="s">
        <v>738</v>
      </c>
      <c r="C285" t="s">
        <v>367</v>
      </c>
    </row>
    <row r="286" spans="1:3">
      <c r="A286" t="s">
        <v>739</v>
      </c>
      <c r="B286" t="s">
        <v>740</v>
      </c>
      <c r="C286" t="s">
        <v>367</v>
      </c>
    </row>
    <row r="287" spans="1:3">
      <c r="A287" t="s">
        <v>741</v>
      </c>
      <c r="B287" t="s">
        <v>742</v>
      </c>
      <c r="C287" t="s">
        <v>367</v>
      </c>
    </row>
    <row r="288" spans="1:3">
      <c r="A288" t="s">
        <v>743</v>
      </c>
      <c r="B288" t="s">
        <v>744</v>
      </c>
      <c r="C288" t="s">
        <v>367</v>
      </c>
    </row>
    <row r="289" spans="1:3">
      <c r="A289" t="s">
        <v>745</v>
      </c>
      <c r="B289" t="s">
        <v>746</v>
      </c>
      <c r="C289" t="s">
        <v>367</v>
      </c>
    </row>
    <row r="290" spans="1:3">
      <c r="A290" t="s">
        <v>747</v>
      </c>
      <c r="B290" t="s">
        <v>748</v>
      </c>
      <c r="C290" t="s">
        <v>367</v>
      </c>
    </row>
    <row r="291" spans="1:3">
      <c r="A291" t="s">
        <v>749</v>
      </c>
      <c r="B291" t="s">
        <v>750</v>
      </c>
      <c r="C291" t="s">
        <v>367</v>
      </c>
    </row>
    <row r="292" spans="1:3">
      <c r="A292" t="s">
        <v>751</v>
      </c>
      <c r="B292" t="s">
        <v>752</v>
      </c>
      <c r="C292" t="s">
        <v>367</v>
      </c>
    </row>
    <row r="293" spans="1:3">
      <c r="A293" t="s">
        <v>753</v>
      </c>
      <c r="B293" t="s">
        <v>754</v>
      </c>
      <c r="C293" t="s">
        <v>367</v>
      </c>
    </row>
    <row r="294" spans="1:3">
      <c r="A294" t="s">
        <v>755</v>
      </c>
      <c r="B294" t="s">
        <v>756</v>
      </c>
      <c r="C294" t="s">
        <v>367</v>
      </c>
    </row>
    <row r="295" spans="1:3">
      <c r="A295" t="s">
        <v>757</v>
      </c>
      <c r="B295" t="s">
        <v>758</v>
      </c>
      <c r="C295" t="s">
        <v>367</v>
      </c>
    </row>
    <row r="296" spans="1:3">
      <c r="A296" t="s">
        <v>759</v>
      </c>
      <c r="B296" t="s">
        <v>760</v>
      </c>
      <c r="C296" t="s">
        <v>367</v>
      </c>
    </row>
    <row r="297" spans="1:3">
      <c r="A297" t="s">
        <v>22</v>
      </c>
      <c r="B297" t="s">
        <v>761</v>
      </c>
      <c r="C297" t="s">
        <v>367</v>
      </c>
    </row>
    <row r="298" spans="1:3">
      <c r="A298" t="s">
        <v>261</v>
      </c>
      <c r="B298" t="s">
        <v>762</v>
      </c>
      <c r="C298" t="s">
        <v>367</v>
      </c>
    </row>
    <row r="299" spans="1:3">
      <c r="A299" t="s">
        <v>763</v>
      </c>
      <c r="B299" t="s">
        <v>465</v>
      </c>
      <c r="C299" t="s">
        <v>367</v>
      </c>
    </row>
    <row r="300" spans="1:3">
      <c r="A300" t="s">
        <v>764</v>
      </c>
      <c r="B300" t="s">
        <v>765</v>
      </c>
      <c r="C300" t="s">
        <v>367</v>
      </c>
    </row>
    <row r="301" spans="1:3">
      <c r="A301" t="s">
        <v>282</v>
      </c>
      <c r="B301" t="s">
        <v>766</v>
      </c>
      <c r="C301" t="s">
        <v>367</v>
      </c>
    </row>
    <row r="302" spans="1:3">
      <c r="A302" t="s">
        <v>767</v>
      </c>
      <c r="B302" t="s">
        <v>768</v>
      </c>
      <c r="C302" t="s">
        <v>367</v>
      </c>
    </row>
    <row r="303" spans="1:3">
      <c r="A303" t="s">
        <v>142</v>
      </c>
      <c r="B303" t="s">
        <v>769</v>
      </c>
      <c r="C303" t="s">
        <v>367</v>
      </c>
    </row>
    <row r="304" spans="1:3">
      <c r="A304" t="s">
        <v>770</v>
      </c>
      <c r="B304" t="s">
        <v>771</v>
      </c>
      <c r="C304" t="s">
        <v>367</v>
      </c>
    </row>
    <row r="305" spans="1:3">
      <c r="A305" t="s">
        <v>772</v>
      </c>
      <c r="B305" t="s">
        <v>773</v>
      </c>
      <c r="C305" t="s">
        <v>367</v>
      </c>
    </row>
    <row r="306" spans="1:3">
      <c r="A306" t="s">
        <v>184</v>
      </c>
      <c r="B306" t="s">
        <v>774</v>
      </c>
      <c r="C306" t="s">
        <v>367</v>
      </c>
    </row>
    <row r="307" spans="1:3">
      <c r="A307" t="s">
        <v>775</v>
      </c>
      <c r="B307" t="s">
        <v>752</v>
      </c>
      <c r="C307" t="s">
        <v>367</v>
      </c>
    </row>
    <row r="308" spans="1:3">
      <c r="A308" t="s">
        <v>776</v>
      </c>
      <c r="B308" t="s">
        <v>777</v>
      </c>
      <c r="C308" t="s">
        <v>367</v>
      </c>
    </row>
    <row r="309" spans="1:3">
      <c r="A309" t="s">
        <v>126</v>
      </c>
      <c r="B309" t="s">
        <v>778</v>
      </c>
      <c r="C309" t="s">
        <v>367</v>
      </c>
    </row>
    <row r="310" spans="1:3">
      <c r="A310" t="s">
        <v>779</v>
      </c>
      <c r="B310" t="s">
        <v>780</v>
      </c>
      <c r="C310" t="s">
        <v>367</v>
      </c>
    </row>
    <row r="311" spans="1:3">
      <c r="A311" t="s">
        <v>781</v>
      </c>
      <c r="B311" t="s">
        <v>782</v>
      </c>
      <c r="C311" t="s">
        <v>367</v>
      </c>
    </row>
    <row r="312" spans="1:3">
      <c r="A312" t="s">
        <v>783</v>
      </c>
      <c r="B312" t="s">
        <v>784</v>
      </c>
      <c r="C312" t="s">
        <v>367</v>
      </c>
    </row>
    <row r="313" spans="1:3">
      <c r="A313" t="s">
        <v>785</v>
      </c>
      <c r="B313" t="s">
        <v>786</v>
      </c>
      <c r="C313" t="s">
        <v>367</v>
      </c>
    </row>
    <row r="314" spans="1:3">
      <c r="A314" t="s">
        <v>787</v>
      </c>
      <c r="B314" t="s">
        <v>788</v>
      </c>
      <c r="C314" t="s">
        <v>367</v>
      </c>
    </row>
    <row r="315" spans="1:3">
      <c r="A315" t="s">
        <v>64</v>
      </c>
      <c r="B315" t="s">
        <v>789</v>
      </c>
      <c r="C315" t="s">
        <v>367</v>
      </c>
    </row>
    <row r="316" spans="1:3">
      <c r="A316" t="s">
        <v>790</v>
      </c>
      <c r="B316" t="s">
        <v>791</v>
      </c>
      <c r="C316" t="s">
        <v>367</v>
      </c>
    </row>
    <row r="317" spans="1:3">
      <c r="A317" t="s">
        <v>792</v>
      </c>
      <c r="B317" t="s">
        <v>586</v>
      </c>
      <c r="C317" t="s">
        <v>367</v>
      </c>
    </row>
    <row r="318" spans="1:3">
      <c r="A318" t="s">
        <v>793</v>
      </c>
      <c r="B318" t="s">
        <v>794</v>
      </c>
      <c r="C318" t="s">
        <v>367</v>
      </c>
    </row>
    <row r="319" spans="1:3">
      <c r="A319" t="s">
        <v>795</v>
      </c>
      <c r="B319" t="s">
        <v>796</v>
      </c>
      <c r="C319" t="s">
        <v>367</v>
      </c>
    </row>
    <row r="320" spans="1:3">
      <c r="A320" t="s">
        <v>797</v>
      </c>
      <c r="B320" t="s">
        <v>798</v>
      </c>
      <c r="C320" t="s">
        <v>367</v>
      </c>
    </row>
    <row r="321" spans="1:3">
      <c r="A321" t="s">
        <v>799</v>
      </c>
      <c r="B321" t="s">
        <v>800</v>
      </c>
      <c r="C321" t="s">
        <v>367</v>
      </c>
    </row>
    <row r="322" spans="1:3">
      <c r="A322" t="s">
        <v>76</v>
      </c>
      <c r="B322" t="s">
        <v>801</v>
      </c>
      <c r="C322" t="s">
        <v>367</v>
      </c>
    </row>
    <row r="323" spans="1:3">
      <c r="A323" t="s">
        <v>802</v>
      </c>
      <c r="B323" t="s">
        <v>782</v>
      </c>
      <c r="C323" t="s">
        <v>367</v>
      </c>
    </row>
    <row r="324" spans="1:3">
      <c r="A324" t="s">
        <v>803</v>
      </c>
      <c r="B324" t="s">
        <v>804</v>
      </c>
      <c r="C324" t="s">
        <v>367</v>
      </c>
    </row>
    <row r="325" spans="1:3">
      <c r="A325" t="s">
        <v>805</v>
      </c>
      <c r="B325" t="s">
        <v>806</v>
      </c>
      <c r="C325" t="s">
        <v>367</v>
      </c>
    </row>
    <row r="326" spans="1:3">
      <c r="A326" t="s">
        <v>286</v>
      </c>
      <c r="B326" t="s">
        <v>807</v>
      </c>
      <c r="C326" t="s">
        <v>367</v>
      </c>
    </row>
    <row r="327" spans="1:3">
      <c r="A327" t="s">
        <v>808</v>
      </c>
      <c r="B327" t="s">
        <v>809</v>
      </c>
      <c r="C327" t="s">
        <v>367</v>
      </c>
    </row>
    <row r="328" spans="1:3">
      <c r="A328" t="s">
        <v>303</v>
      </c>
      <c r="B328" t="s">
        <v>810</v>
      </c>
      <c r="C328" t="s">
        <v>367</v>
      </c>
    </row>
    <row r="329" spans="1:3">
      <c r="A329" t="s">
        <v>81</v>
      </c>
      <c r="B329" t="s">
        <v>811</v>
      </c>
      <c r="C329" t="s">
        <v>367</v>
      </c>
    </row>
    <row r="330" spans="1:3">
      <c r="A330" t="s">
        <v>175</v>
      </c>
      <c r="B330" t="s">
        <v>812</v>
      </c>
      <c r="C330" t="s">
        <v>367</v>
      </c>
    </row>
    <row r="331" spans="1:3">
      <c r="A331" t="s">
        <v>176</v>
      </c>
      <c r="B331" t="s">
        <v>813</v>
      </c>
      <c r="C331" t="s">
        <v>367</v>
      </c>
    </row>
    <row r="332" spans="1:3">
      <c r="A332" t="s">
        <v>277</v>
      </c>
      <c r="B332" t="s">
        <v>814</v>
      </c>
      <c r="C332" t="s">
        <v>367</v>
      </c>
    </row>
    <row r="333" spans="1:3">
      <c r="A333" t="s">
        <v>235</v>
      </c>
      <c r="B333" t="s">
        <v>815</v>
      </c>
      <c r="C333" t="s">
        <v>367</v>
      </c>
    </row>
    <row r="334" spans="1:3">
      <c r="A334" t="s">
        <v>306</v>
      </c>
      <c r="B334" t="s">
        <v>816</v>
      </c>
      <c r="C334" t="s">
        <v>367</v>
      </c>
    </row>
    <row r="335" spans="1:3">
      <c r="A335" t="s">
        <v>315</v>
      </c>
      <c r="B335" t="s">
        <v>817</v>
      </c>
      <c r="C335" t="s">
        <v>367</v>
      </c>
    </row>
    <row r="336" spans="1:3">
      <c r="A336" t="s">
        <v>183</v>
      </c>
      <c r="B336" t="s">
        <v>818</v>
      </c>
      <c r="C336" t="s">
        <v>367</v>
      </c>
    </row>
    <row r="337" spans="1:3">
      <c r="A337" t="s">
        <v>819</v>
      </c>
      <c r="B337" t="s">
        <v>820</v>
      </c>
      <c r="C337" t="s">
        <v>367</v>
      </c>
    </row>
    <row r="338" spans="1:3">
      <c r="A338" t="s">
        <v>821</v>
      </c>
      <c r="B338" t="s">
        <v>822</v>
      </c>
      <c r="C338" t="s">
        <v>367</v>
      </c>
    </row>
    <row r="339" spans="1:3">
      <c r="A339" t="s">
        <v>96</v>
      </c>
      <c r="B339" t="s">
        <v>823</v>
      </c>
      <c r="C339" t="s">
        <v>367</v>
      </c>
    </row>
    <row r="340" spans="1:3">
      <c r="A340" t="s">
        <v>824</v>
      </c>
      <c r="B340" t="s">
        <v>825</v>
      </c>
      <c r="C340" t="s">
        <v>367</v>
      </c>
    </row>
    <row r="341" spans="1:3">
      <c r="A341" t="s">
        <v>826</v>
      </c>
      <c r="B341" t="s">
        <v>827</v>
      </c>
      <c r="C341" t="s">
        <v>367</v>
      </c>
    </row>
    <row r="342" spans="1:3">
      <c r="A342" t="s">
        <v>828</v>
      </c>
      <c r="B342" t="s">
        <v>829</v>
      </c>
      <c r="C342" t="s">
        <v>367</v>
      </c>
    </row>
    <row r="343" spans="1:3">
      <c r="A343" t="s">
        <v>830</v>
      </c>
      <c r="B343" t="s">
        <v>831</v>
      </c>
      <c r="C343" t="s">
        <v>367</v>
      </c>
    </row>
    <row r="344" spans="1:3">
      <c r="A344" t="s">
        <v>17</v>
      </c>
      <c r="B344" t="s">
        <v>832</v>
      </c>
      <c r="C344" t="s">
        <v>367</v>
      </c>
    </row>
    <row r="345" spans="1:3">
      <c r="A345" t="s">
        <v>280</v>
      </c>
      <c r="B345" t="s">
        <v>806</v>
      </c>
      <c r="C345" t="s">
        <v>367</v>
      </c>
    </row>
    <row r="346" spans="1:3">
      <c r="A346" t="s">
        <v>252</v>
      </c>
      <c r="B346" t="s">
        <v>833</v>
      </c>
      <c r="C346" t="s">
        <v>367</v>
      </c>
    </row>
    <row r="347" spans="1:3">
      <c r="A347" t="s">
        <v>834</v>
      </c>
      <c r="B347" t="s">
        <v>835</v>
      </c>
      <c r="C347" t="s">
        <v>367</v>
      </c>
    </row>
    <row r="348" spans="1:3">
      <c r="A348" t="s">
        <v>836</v>
      </c>
      <c r="B348" t="s">
        <v>837</v>
      </c>
      <c r="C348" t="s">
        <v>367</v>
      </c>
    </row>
    <row r="349" spans="1:3">
      <c r="A349" t="s">
        <v>838</v>
      </c>
      <c r="B349" t="s">
        <v>839</v>
      </c>
      <c r="C349" t="s">
        <v>367</v>
      </c>
    </row>
    <row r="350" spans="1:3">
      <c r="A350" t="s">
        <v>840</v>
      </c>
      <c r="B350" t="s">
        <v>839</v>
      </c>
      <c r="C350" t="s">
        <v>367</v>
      </c>
    </row>
    <row r="351" spans="1:3">
      <c r="A351" t="s">
        <v>326</v>
      </c>
      <c r="B351" t="s">
        <v>841</v>
      </c>
      <c r="C351" t="s">
        <v>367</v>
      </c>
    </row>
    <row r="352" spans="1:3">
      <c r="A352" t="s">
        <v>329</v>
      </c>
      <c r="B352" t="s">
        <v>842</v>
      </c>
      <c r="C352" t="s">
        <v>367</v>
      </c>
    </row>
    <row r="353" spans="1:3">
      <c r="A353" t="s">
        <v>843</v>
      </c>
      <c r="B353" t="s">
        <v>844</v>
      </c>
      <c r="C353" t="s">
        <v>367</v>
      </c>
    </row>
    <row r="354" spans="1:3">
      <c r="A354" t="s">
        <v>106</v>
      </c>
      <c r="B354" t="s">
        <v>845</v>
      </c>
      <c r="C354" t="s">
        <v>367</v>
      </c>
    </row>
    <row r="355" spans="1:3">
      <c r="A355" t="s">
        <v>248</v>
      </c>
      <c r="B355" t="s">
        <v>846</v>
      </c>
      <c r="C355" t="s">
        <v>367</v>
      </c>
    </row>
    <row r="356" spans="1:3">
      <c r="A356" t="s">
        <v>847</v>
      </c>
      <c r="B356" t="s">
        <v>848</v>
      </c>
      <c r="C356" t="s">
        <v>367</v>
      </c>
    </row>
    <row r="357" spans="1:3">
      <c r="A357" t="s">
        <v>849</v>
      </c>
      <c r="B357" t="s">
        <v>850</v>
      </c>
      <c r="C357" t="s">
        <v>367</v>
      </c>
    </row>
    <row r="358" spans="1:3">
      <c r="A358" t="s">
        <v>851</v>
      </c>
      <c r="B358" t="s">
        <v>852</v>
      </c>
      <c r="C358" t="s">
        <v>367</v>
      </c>
    </row>
    <row r="359" spans="1:3">
      <c r="A359" t="s">
        <v>245</v>
      </c>
      <c r="B359" t="s">
        <v>853</v>
      </c>
      <c r="C359" t="s">
        <v>367</v>
      </c>
    </row>
    <row r="360" spans="1:3">
      <c r="A360" t="s">
        <v>0</v>
      </c>
      <c r="B360" t="s">
        <v>854</v>
      </c>
      <c r="C360" t="s">
        <v>367</v>
      </c>
    </row>
    <row r="361" spans="1:3">
      <c r="A361" t="s">
        <v>855</v>
      </c>
      <c r="B361" t="s">
        <v>856</v>
      </c>
      <c r="C361" t="s">
        <v>367</v>
      </c>
    </row>
    <row r="362" spans="1:3">
      <c r="A362" t="s">
        <v>857</v>
      </c>
      <c r="B362" t="s">
        <v>858</v>
      </c>
      <c r="C362" t="s">
        <v>367</v>
      </c>
    </row>
    <row r="363" spans="1:3">
      <c r="A363" t="s">
        <v>145</v>
      </c>
      <c r="B363" t="s">
        <v>859</v>
      </c>
      <c r="C363" t="s">
        <v>367</v>
      </c>
    </row>
    <row r="364" spans="1:3">
      <c r="A364" t="s">
        <v>860</v>
      </c>
      <c r="B364" t="s">
        <v>861</v>
      </c>
      <c r="C364" t="s">
        <v>367</v>
      </c>
    </row>
    <row r="365" spans="1:3">
      <c r="A365" t="s">
        <v>862</v>
      </c>
      <c r="B365" t="s">
        <v>863</v>
      </c>
      <c r="C365" t="s">
        <v>367</v>
      </c>
    </row>
    <row r="366" spans="1:3">
      <c r="A366" t="s">
        <v>864</v>
      </c>
      <c r="B366" t="s">
        <v>865</v>
      </c>
      <c r="C366" t="s">
        <v>367</v>
      </c>
    </row>
    <row r="367" spans="1:3">
      <c r="A367" t="s">
        <v>866</v>
      </c>
      <c r="B367" t="s">
        <v>867</v>
      </c>
      <c r="C367" t="s">
        <v>367</v>
      </c>
    </row>
    <row r="368" spans="1:3">
      <c r="A368" t="s">
        <v>868</v>
      </c>
      <c r="B368" t="s">
        <v>869</v>
      </c>
      <c r="C368" t="s">
        <v>367</v>
      </c>
    </row>
    <row r="369" spans="1:3">
      <c r="A369" t="s">
        <v>870</v>
      </c>
      <c r="B369" t="s">
        <v>871</v>
      </c>
      <c r="C369" t="s">
        <v>367</v>
      </c>
    </row>
    <row r="370" spans="1:3">
      <c r="A370" t="s">
        <v>872</v>
      </c>
      <c r="B370" t="s">
        <v>873</v>
      </c>
      <c r="C370" t="s">
        <v>367</v>
      </c>
    </row>
    <row r="371" spans="1:3">
      <c r="A371" t="s">
        <v>120</v>
      </c>
      <c r="B371" t="s">
        <v>874</v>
      </c>
      <c r="C371" t="s">
        <v>367</v>
      </c>
    </row>
    <row r="372" spans="1:3">
      <c r="A372" t="s">
        <v>875</v>
      </c>
      <c r="B372" t="s">
        <v>876</v>
      </c>
      <c r="C372" t="s">
        <v>367</v>
      </c>
    </row>
    <row r="373" spans="1:3">
      <c r="A373" t="s">
        <v>877</v>
      </c>
      <c r="B373" t="s">
        <v>878</v>
      </c>
      <c r="C373" t="s">
        <v>367</v>
      </c>
    </row>
    <row r="374" spans="1:3">
      <c r="A374" t="s">
        <v>879</v>
      </c>
      <c r="B374" t="s">
        <v>880</v>
      </c>
      <c r="C374" t="s">
        <v>367</v>
      </c>
    </row>
    <row r="375" spans="1:3">
      <c r="A375" t="s">
        <v>881</v>
      </c>
      <c r="B375" t="s">
        <v>882</v>
      </c>
      <c r="C375" t="s">
        <v>367</v>
      </c>
    </row>
    <row r="376" spans="1:3">
      <c r="A376" t="s">
        <v>883</v>
      </c>
      <c r="B376" t="s">
        <v>884</v>
      </c>
      <c r="C376" t="s">
        <v>367</v>
      </c>
    </row>
    <row r="377" spans="1:3">
      <c r="A377" t="s">
        <v>885</v>
      </c>
      <c r="B377" t="s">
        <v>886</v>
      </c>
      <c r="C377" t="s">
        <v>367</v>
      </c>
    </row>
    <row r="378" spans="1:3">
      <c r="A378" t="s">
        <v>887</v>
      </c>
      <c r="B378" t="s">
        <v>888</v>
      </c>
      <c r="C378" t="s">
        <v>367</v>
      </c>
    </row>
    <row r="379" spans="1:3">
      <c r="A379" t="s">
        <v>889</v>
      </c>
      <c r="B379" t="s">
        <v>890</v>
      </c>
      <c r="C379" t="s">
        <v>367</v>
      </c>
    </row>
    <row r="380" spans="1:3">
      <c r="A380" t="s">
        <v>891</v>
      </c>
      <c r="B380" t="s">
        <v>892</v>
      </c>
      <c r="C380" t="s">
        <v>367</v>
      </c>
    </row>
    <row r="381" spans="1:3">
      <c r="A381" t="s">
        <v>893</v>
      </c>
      <c r="B381" t="s">
        <v>686</v>
      </c>
      <c r="C381" t="s">
        <v>367</v>
      </c>
    </row>
    <row r="382" spans="1:3">
      <c r="A382" t="s">
        <v>894</v>
      </c>
      <c r="B382" t="s">
        <v>895</v>
      </c>
      <c r="C382" t="s">
        <v>367</v>
      </c>
    </row>
    <row r="383" spans="1:3">
      <c r="A383" t="s">
        <v>896</v>
      </c>
      <c r="B383" t="s">
        <v>897</v>
      </c>
      <c r="C383" t="s">
        <v>367</v>
      </c>
    </row>
    <row r="384" spans="1:3">
      <c r="A384" t="s">
        <v>898</v>
      </c>
      <c r="B384" t="s">
        <v>899</v>
      </c>
      <c r="C384" t="s">
        <v>367</v>
      </c>
    </row>
    <row r="385" spans="1:3">
      <c r="A385" t="s">
        <v>900</v>
      </c>
      <c r="B385" t="s">
        <v>901</v>
      </c>
      <c r="C385" t="s">
        <v>367</v>
      </c>
    </row>
    <row r="386" spans="1:3">
      <c r="A386" t="s">
        <v>902</v>
      </c>
      <c r="B386" t="s">
        <v>903</v>
      </c>
      <c r="C386" t="s">
        <v>367</v>
      </c>
    </row>
    <row r="387" spans="1:3">
      <c r="A387" t="s">
        <v>149</v>
      </c>
      <c r="B387" t="s">
        <v>904</v>
      </c>
      <c r="C387" t="s">
        <v>367</v>
      </c>
    </row>
    <row r="388" spans="1:3">
      <c r="A388" t="s">
        <v>147</v>
      </c>
      <c r="B388" t="s">
        <v>905</v>
      </c>
      <c r="C388" t="s">
        <v>367</v>
      </c>
    </row>
    <row r="389" spans="1:3">
      <c r="A389" t="s">
        <v>112</v>
      </c>
      <c r="B389" t="s">
        <v>865</v>
      </c>
      <c r="C389" t="s">
        <v>367</v>
      </c>
    </row>
    <row r="390" spans="1:3">
      <c r="A390" t="s">
        <v>111</v>
      </c>
      <c r="B390" t="s">
        <v>906</v>
      </c>
      <c r="C390" t="s">
        <v>367</v>
      </c>
    </row>
    <row r="391" spans="1:3">
      <c r="A391" t="s">
        <v>98</v>
      </c>
      <c r="B391" t="s">
        <v>907</v>
      </c>
      <c r="C391" t="s">
        <v>367</v>
      </c>
    </row>
    <row r="392" spans="1:3">
      <c r="A392" t="s">
        <v>73</v>
      </c>
      <c r="B392" t="s">
        <v>908</v>
      </c>
      <c r="C392" t="s">
        <v>367</v>
      </c>
    </row>
    <row r="393" spans="1:3">
      <c r="A393" t="s">
        <v>909</v>
      </c>
      <c r="B393" t="s">
        <v>910</v>
      </c>
      <c r="C393" t="s">
        <v>367</v>
      </c>
    </row>
    <row r="394" spans="1:3">
      <c r="A394" t="s">
        <v>911</v>
      </c>
      <c r="B394" t="s">
        <v>912</v>
      </c>
      <c r="C394" t="s">
        <v>367</v>
      </c>
    </row>
    <row r="395" spans="1:3">
      <c r="A395" t="s">
        <v>913</v>
      </c>
      <c r="B395" t="s">
        <v>914</v>
      </c>
      <c r="C395" t="s">
        <v>367</v>
      </c>
    </row>
    <row r="396" spans="1:3">
      <c r="A396" t="s">
        <v>915</v>
      </c>
      <c r="B396" t="s">
        <v>916</v>
      </c>
      <c r="C396" t="s">
        <v>367</v>
      </c>
    </row>
    <row r="397" spans="1:3">
      <c r="A397" t="s">
        <v>917</v>
      </c>
      <c r="B397" t="s">
        <v>689</v>
      </c>
      <c r="C397" t="s">
        <v>367</v>
      </c>
    </row>
    <row r="398" spans="1:3">
      <c r="A398" t="s">
        <v>918</v>
      </c>
      <c r="B398" t="s">
        <v>919</v>
      </c>
      <c r="C398" t="s">
        <v>367</v>
      </c>
    </row>
    <row r="399" spans="1:3">
      <c r="A399" t="s">
        <v>65</v>
      </c>
      <c r="B399" t="s">
        <v>920</v>
      </c>
      <c r="C399" t="s">
        <v>367</v>
      </c>
    </row>
    <row r="400" spans="1:3">
      <c r="A400" t="s">
        <v>71</v>
      </c>
      <c r="B400" t="s">
        <v>921</v>
      </c>
      <c r="C400" t="s">
        <v>367</v>
      </c>
    </row>
    <row r="401" spans="1:3">
      <c r="A401" t="s">
        <v>922</v>
      </c>
      <c r="B401" t="s">
        <v>923</v>
      </c>
      <c r="C401" t="s">
        <v>367</v>
      </c>
    </row>
    <row r="402" spans="1:3">
      <c r="A402" t="s">
        <v>924</v>
      </c>
      <c r="B402" t="s">
        <v>925</v>
      </c>
      <c r="C402" t="s">
        <v>367</v>
      </c>
    </row>
    <row r="403" spans="1:3">
      <c r="A403" t="s">
        <v>926</v>
      </c>
      <c r="B403" t="s">
        <v>927</v>
      </c>
      <c r="C403" t="s">
        <v>367</v>
      </c>
    </row>
    <row r="404" spans="1:3">
      <c r="A404" t="s">
        <v>928</v>
      </c>
      <c r="B404" t="s">
        <v>929</v>
      </c>
      <c r="C404" t="s">
        <v>367</v>
      </c>
    </row>
    <row r="405" spans="1:3">
      <c r="A405" t="s">
        <v>930</v>
      </c>
      <c r="B405" t="s">
        <v>931</v>
      </c>
      <c r="C405" t="s">
        <v>367</v>
      </c>
    </row>
    <row r="406" spans="1:3">
      <c r="A406" t="s">
        <v>932</v>
      </c>
      <c r="B406" t="s">
        <v>933</v>
      </c>
      <c r="C406" t="s">
        <v>367</v>
      </c>
    </row>
    <row r="407" spans="1:3">
      <c r="A407" t="s">
        <v>934</v>
      </c>
      <c r="B407" t="s">
        <v>690</v>
      </c>
      <c r="C407" t="s">
        <v>367</v>
      </c>
    </row>
    <row r="408" spans="1:3">
      <c r="A408" t="s">
        <v>935</v>
      </c>
      <c r="B408" t="s">
        <v>936</v>
      </c>
      <c r="C408" t="s">
        <v>367</v>
      </c>
    </row>
    <row r="409" spans="1:3">
      <c r="A409" t="s">
        <v>937</v>
      </c>
      <c r="B409" t="s">
        <v>938</v>
      </c>
      <c r="C409" t="s">
        <v>367</v>
      </c>
    </row>
    <row r="410" spans="1:3">
      <c r="A410" t="s">
        <v>939</v>
      </c>
      <c r="B410" t="s">
        <v>690</v>
      </c>
      <c r="C410" t="s">
        <v>367</v>
      </c>
    </row>
    <row r="411" spans="1:3">
      <c r="A411" t="s">
        <v>249</v>
      </c>
      <c r="B411" t="s">
        <v>912</v>
      </c>
      <c r="C411" t="s">
        <v>367</v>
      </c>
    </row>
    <row r="412" spans="1:3">
      <c r="A412" t="s">
        <v>178</v>
      </c>
      <c r="B412" t="s">
        <v>940</v>
      </c>
      <c r="C412" t="s">
        <v>367</v>
      </c>
    </row>
    <row r="413" spans="1:3">
      <c r="A413" t="s">
        <v>177</v>
      </c>
      <c r="B413" t="s">
        <v>941</v>
      </c>
      <c r="C413" t="s">
        <v>367</v>
      </c>
    </row>
    <row r="414" spans="1:3">
      <c r="A414" t="s">
        <v>942</v>
      </c>
      <c r="B414" t="s">
        <v>943</v>
      </c>
      <c r="C414" t="s">
        <v>367</v>
      </c>
    </row>
    <row r="415" spans="1:3">
      <c r="A415" t="s">
        <v>944</v>
      </c>
      <c r="B415" t="s">
        <v>945</v>
      </c>
      <c r="C415" t="s">
        <v>367</v>
      </c>
    </row>
    <row r="416" spans="1:3">
      <c r="A416" t="s">
        <v>946</v>
      </c>
      <c r="B416" t="s">
        <v>947</v>
      </c>
      <c r="C416" t="s">
        <v>367</v>
      </c>
    </row>
    <row r="417" spans="1:3">
      <c r="A417" t="s">
        <v>948</v>
      </c>
      <c r="B417" t="s">
        <v>949</v>
      </c>
      <c r="C417" t="s">
        <v>367</v>
      </c>
    </row>
    <row r="418" spans="1:3">
      <c r="A418" t="s">
        <v>950</v>
      </c>
      <c r="B418" t="s">
        <v>951</v>
      </c>
      <c r="C418" t="s">
        <v>367</v>
      </c>
    </row>
    <row r="419" spans="1:3">
      <c r="A419" t="s">
        <v>952</v>
      </c>
      <c r="B419" t="s">
        <v>693</v>
      </c>
      <c r="C419" t="s">
        <v>367</v>
      </c>
    </row>
    <row r="420" spans="1:3">
      <c r="A420" t="s">
        <v>953</v>
      </c>
      <c r="B420" t="s">
        <v>954</v>
      </c>
      <c r="C420" t="s">
        <v>367</v>
      </c>
    </row>
    <row r="421" spans="1:3">
      <c r="A421" t="s">
        <v>251</v>
      </c>
      <c r="B421" t="s">
        <v>955</v>
      </c>
      <c r="C421" t="s">
        <v>367</v>
      </c>
    </row>
    <row r="422" spans="1:3">
      <c r="A422" t="s">
        <v>266</v>
      </c>
      <c r="B422" t="s">
        <v>929</v>
      </c>
      <c r="C422" t="s">
        <v>367</v>
      </c>
    </row>
    <row r="423" spans="1:3">
      <c r="A423" t="s">
        <v>956</v>
      </c>
      <c r="B423" t="s">
        <v>699</v>
      </c>
      <c r="C423" t="s">
        <v>367</v>
      </c>
    </row>
    <row r="424" spans="1:3">
      <c r="A424" t="s">
        <v>80</v>
      </c>
      <c r="B424" t="s">
        <v>957</v>
      </c>
      <c r="C424" t="s">
        <v>367</v>
      </c>
    </row>
    <row r="425" spans="1:3">
      <c r="A425" t="s">
        <v>958</v>
      </c>
      <c r="B425" t="s">
        <v>959</v>
      </c>
      <c r="C425" t="s">
        <v>367</v>
      </c>
    </row>
    <row r="426" spans="1:3">
      <c r="A426" t="s">
        <v>336</v>
      </c>
      <c r="B426" t="s">
        <v>690</v>
      </c>
      <c r="C426" t="s">
        <v>367</v>
      </c>
    </row>
    <row r="427" spans="1:3">
      <c r="A427" t="s">
        <v>960</v>
      </c>
      <c r="B427" t="s">
        <v>961</v>
      </c>
      <c r="C427" t="s">
        <v>367</v>
      </c>
    </row>
    <row r="428" spans="1:3">
      <c r="A428" t="s">
        <v>962</v>
      </c>
      <c r="B428" t="s">
        <v>963</v>
      </c>
      <c r="C428" t="s">
        <v>367</v>
      </c>
    </row>
    <row r="429" spans="1:3">
      <c r="A429" t="s">
        <v>222</v>
      </c>
      <c r="B429" t="s">
        <v>964</v>
      </c>
      <c r="C429" t="s">
        <v>367</v>
      </c>
    </row>
    <row r="430" spans="1:3">
      <c r="A430" t="s">
        <v>220</v>
      </c>
      <c r="B430" t="s">
        <v>965</v>
      </c>
      <c r="C430" t="s">
        <v>367</v>
      </c>
    </row>
    <row r="431" spans="1:3">
      <c r="A431" t="s">
        <v>966</v>
      </c>
      <c r="B431" t="s">
        <v>694</v>
      </c>
      <c r="C431" t="s">
        <v>367</v>
      </c>
    </row>
    <row r="432" spans="1:3">
      <c r="A432" t="s">
        <v>967</v>
      </c>
      <c r="B432" t="s">
        <v>695</v>
      </c>
      <c r="C432" t="s">
        <v>367</v>
      </c>
    </row>
    <row r="433" spans="1:3">
      <c r="A433" t="s">
        <v>107</v>
      </c>
      <c r="B433" t="s">
        <v>968</v>
      </c>
      <c r="C433" t="s">
        <v>367</v>
      </c>
    </row>
    <row r="434" spans="1:3">
      <c r="A434" t="s">
        <v>63</v>
      </c>
      <c r="B434" t="s">
        <v>969</v>
      </c>
      <c r="C434" t="s">
        <v>367</v>
      </c>
    </row>
    <row r="435" spans="1:3">
      <c r="A435" t="s">
        <v>970</v>
      </c>
      <c r="B435" t="s">
        <v>971</v>
      </c>
      <c r="C435" t="s">
        <v>367</v>
      </c>
    </row>
    <row r="436" spans="1:3">
      <c r="A436" t="s">
        <v>288</v>
      </c>
      <c r="B436" t="s">
        <v>972</v>
      </c>
      <c r="C436" t="s">
        <v>367</v>
      </c>
    </row>
    <row r="437" spans="1:3">
      <c r="A437" t="s">
        <v>973</v>
      </c>
      <c r="B437" t="s">
        <v>974</v>
      </c>
      <c r="C437" t="s">
        <v>367</v>
      </c>
    </row>
    <row r="438" spans="1:3">
      <c r="A438" t="s">
        <v>975</v>
      </c>
      <c r="B438" t="s">
        <v>976</v>
      </c>
      <c r="C438" t="s">
        <v>367</v>
      </c>
    </row>
    <row r="439" spans="1:3">
      <c r="A439" t="s">
        <v>104</v>
      </c>
      <c r="B439" t="s">
        <v>692</v>
      </c>
      <c r="C439" t="s">
        <v>367</v>
      </c>
    </row>
    <row r="440" spans="1:3">
      <c r="A440" t="s">
        <v>977</v>
      </c>
      <c r="B440" t="s">
        <v>978</v>
      </c>
      <c r="C440" t="s">
        <v>367</v>
      </c>
    </row>
    <row r="441" spans="1:3">
      <c r="A441" t="s">
        <v>979</v>
      </c>
      <c r="B441" t="s">
        <v>696</v>
      </c>
      <c r="C441" t="s">
        <v>367</v>
      </c>
    </row>
    <row r="442" spans="1:3">
      <c r="A442" t="s">
        <v>980</v>
      </c>
      <c r="B442" t="s">
        <v>697</v>
      </c>
      <c r="C442" t="s">
        <v>367</v>
      </c>
    </row>
    <row r="443" spans="1:3">
      <c r="A443" t="s">
        <v>981</v>
      </c>
      <c r="B443" t="s">
        <v>982</v>
      </c>
      <c r="C443" t="s">
        <v>367</v>
      </c>
    </row>
    <row r="444" spans="1:3">
      <c r="A444" t="s">
        <v>983</v>
      </c>
      <c r="B444" t="s">
        <v>984</v>
      </c>
      <c r="C444" t="s">
        <v>367</v>
      </c>
    </row>
    <row r="445" spans="1:3">
      <c r="A445" t="s">
        <v>985</v>
      </c>
      <c r="B445" t="s">
        <v>986</v>
      </c>
      <c r="C445" t="s">
        <v>367</v>
      </c>
    </row>
    <row r="446" spans="1:3">
      <c r="A446" t="s">
        <v>987</v>
      </c>
      <c r="B446" t="s">
        <v>988</v>
      </c>
      <c r="C446" t="s">
        <v>367</v>
      </c>
    </row>
    <row r="447" spans="1:3">
      <c r="A447" t="s">
        <v>989</v>
      </c>
      <c r="B447" t="s">
        <v>990</v>
      </c>
      <c r="C447" t="s">
        <v>367</v>
      </c>
    </row>
    <row r="448" spans="1:3">
      <c r="A448" t="s">
        <v>991</v>
      </c>
      <c r="B448" t="s">
        <v>700</v>
      </c>
      <c r="C448" t="s">
        <v>367</v>
      </c>
    </row>
    <row r="449" spans="1:3">
      <c r="A449" t="s">
        <v>337</v>
      </c>
      <c r="B449" t="s">
        <v>699</v>
      </c>
      <c r="C449" t="s">
        <v>367</v>
      </c>
    </row>
    <row r="450" spans="1:3">
      <c r="A450" t="s">
        <v>93</v>
      </c>
      <c r="B450" t="s">
        <v>992</v>
      </c>
      <c r="C450" t="s">
        <v>367</v>
      </c>
    </row>
    <row r="451" spans="1:3">
      <c r="A451" t="s">
        <v>94</v>
      </c>
      <c r="B451" t="s">
        <v>993</v>
      </c>
      <c r="C451" t="s">
        <v>367</v>
      </c>
    </row>
    <row r="452" spans="1:3">
      <c r="A452" t="s">
        <v>182</v>
      </c>
      <c r="B452" t="s">
        <v>994</v>
      </c>
      <c r="C452" t="s">
        <v>367</v>
      </c>
    </row>
    <row r="453" spans="1:3">
      <c r="A453" t="s">
        <v>995</v>
      </c>
      <c r="B453" t="s">
        <v>996</v>
      </c>
      <c r="C453" t="s">
        <v>367</v>
      </c>
    </row>
    <row r="454" spans="1:3">
      <c r="A454" t="s">
        <v>997</v>
      </c>
      <c r="B454" t="s">
        <v>974</v>
      </c>
      <c r="C454" t="s">
        <v>367</v>
      </c>
    </row>
    <row r="455" spans="1:3">
      <c r="A455" t="s">
        <v>216</v>
      </c>
      <c r="B455" t="s">
        <v>982</v>
      </c>
      <c r="C455" t="s">
        <v>367</v>
      </c>
    </row>
    <row r="456" spans="1:3">
      <c r="A456" t="s">
        <v>998</v>
      </c>
      <c r="B456" t="s">
        <v>999</v>
      </c>
      <c r="C456" t="s">
        <v>367</v>
      </c>
    </row>
    <row r="457" spans="1:3">
      <c r="A457" t="s">
        <v>1000</v>
      </c>
      <c r="B457" t="s">
        <v>1001</v>
      </c>
      <c r="C457" t="s">
        <v>367</v>
      </c>
    </row>
    <row r="458" spans="1:3">
      <c r="A458" t="s">
        <v>1002</v>
      </c>
      <c r="B458" t="s">
        <v>1003</v>
      </c>
      <c r="C458" t="s">
        <v>367</v>
      </c>
    </row>
    <row r="459" spans="1:3">
      <c r="A459" t="s">
        <v>86</v>
      </c>
      <c r="B459" t="s">
        <v>1004</v>
      </c>
      <c r="C459" t="s">
        <v>367</v>
      </c>
    </row>
    <row r="460" spans="1:3">
      <c r="A460" t="s">
        <v>1005</v>
      </c>
      <c r="B460" t="s">
        <v>1006</v>
      </c>
      <c r="C460" t="s">
        <v>367</v>
      </c>
    </row>
    <row r="461" spans="1:3">
      <c r="A461" t="s">
        <v>1007</v>
      </c>
      <c r="B461" t="s">
        <v>1008</v>
      </c>
      <c r="C461" t="s">
        <v>367</v>
      </c>
    </row>
    <row r="462" spans="1:3">
      <c r="A462" t="s">
        <v>162</v>
      </c>
      <c r="B462" t="s">
        <v>1009</v>
      </c>
      <c r="C462" t="s">
        <v>367</v>
      </c>
    </row>
    <row r="463" spans="1:3">
      <c r="A463" t="s">
        <v>1010</v>
      </c>
      <c r="B463" t="s">
        <v>1011</v>
      </c>
      <c r="C463" t="s">
        <v>367</v>
      </c>
    </row>
    <row r="464" spans="1:3">
      <c r="A464" t="s">
        <v>1012</v>
      </c>
      <c r="B464" t="s">
        <v>1013</v>
      </c>
      <c r="C464" t="s">
        <v>367</v>
      </c>
    </row>
    <row r="465" spans="1:3">
      <c r="A465" t="s">
        <v>1014</v>
      </c>
      <c r="B465" t="s">
        <v>1015</v>
      </c>
      <c r="C465" t="s">
        <v>367</v>
      </c>
    </row>
    <row r="466" spans="1:3">
      <c r="A466" t="s">
        <v>1016</v>
      </c>
      <c r="B466" t="s">
        <v>1017</v>
      </c>
      <c r="C466" t="s">
        <v>367</v>
      </c>
    </row>
    <row r="467" spans="1:3">
      <c r="A467" t="s">
        <v>1018</v>
      </c>
      <c r="B467" t="s">
        <v>704</v>
      </c>
      <c r="C467" t="s">
        <v>367</v>
      </c>
    </row>
    <row r="468" spans="1:3">
      <c r="A468" t="s">
        <v>1019</v>
      </c>
      <c r="B468" t="s">
        <v>705</v>
      </c>
      <c r="C468" t="s">
        <v>367</v>
      </c>
    </row>
    <row r="469" spans="1:3">
      <c r="A469" t="s">
        <v>148</v>
      </c>
      <c r="B469" t="s">
        <v>1003</v>
      </c>
      <c r="C469" t="s">
        <v>367</v>
      </c>
    </row>
    <row r="470" spans="1:3">
      <c r="A470" t="s">
        <v>84</v>
      </c>
      <c r="B470" t="s">
        <v>1020</v>
      </c>
      <c r="C470" t="s">
        <v>367</v>
      </c>
    </row>
    <row r="471" spans="1:3">
      <c r="A471" t="s">
        <v>1021</v>
      </c>
      <c r="B471" t="s">
        <v>706</v>
      </c>
      <c r="C471" t="s">
        <v>367</v>
      </c>
    </row>
    <row r="472" spans="1:3">
      <c r="A472" t="s">
        <v>1022</v>
      </c>
      <c r="B472" t="s">
        <v>707</v>
      </c>
      <c r="C472" t="s">
        <v>367</v>
      </c>
    </row>
    <row r="473" spans="1:3">
      <c r="A473" t="s">
        <v>346</v>
      </c>
      <c r="B473" t="s">
        <v>1006</v>
      </c>
      <c r="C473" t="s">
        <v>367</v>
      </c>
    </row>
    <row r="474" spans="1:3">
      <c r="A474" t="s">
        <v>344</v>
      </c>
      <c r="B474" t="s">
        <v>1008</v>
      </c>
      <c r="C474" t="s">
        <v>367</v>
      </c>
    </row>
    <row r="475" spans="1:3">
      <c r="A475" t="s">
        <v>1023</v>
      </c>
      <c r="B475" t="s">
        <v>1024</v>
      </c>
      <c r="C475" t="s">
        <v>367</v>
      </c>
    </row>
    <row r="476" spans="1:3">
      <c r="A476" t="s">
        <v>1025</v>
      </c>
      <c r="B476" t="s">
        <v>1026</v>
      </c>
      <c r="C476" t="s">
        <v>367</v>
      </c>
    </row>
    <row r="477" spans="1:3">
      <c r="A477" t="s">
        <v>1027</v>
      </c>
      <c r="B477" t="s">
        <v>1028</v>
      </c>
      <c r="C477" t="s">
        <v>367</v>
      </c>
    </row>
    <row r="478" spans="1:3">
      <c r="A478" t="s">
        <v>1029</v>
      </c>
      <c r="B478" t="s">
        <v>1030</v>
      </c>
      <c r="C478" t="s">
        <v>367</v>
      </c>
    </row>
    <row r="479" spans="1:3">
      <c r="A479" t="s">
        <v>263</v>
      </c>
      <c r="B479" t="s">
        <v>1011</v>
      </c>
      <c r="C479" t="s">
        <v>367</v>
      </c>
    </row>
    <row r="480" spans="1:3">
      <c r="A480" t="s">
        <v>1031</v>
      </c>
      <c r="B480" t="s">
        <v>1013</v>
      </c>
      <c r="C480" t="s">
        <v>367</v>
      </c>
    </row>
    <row r="481" spans="1:3">
      <c r="A481" t="s">
        <v>1032</v>
      </c>
      <c r="B481" t="s">
        <v>1033</v>
      </c>
      <c r="C481" t="s">
        <v>367</v>
      </c>
    </row>
    <row r="482" spans="1:3">
      <c r="A482" t="s">
        <v>1034</v>
      </c>
      <c r="B482" t="s">
        <v>1035</v>
      </c>
      <c r="C482" t="s">
        <v>367</v>
      </c>
    </row>
    <row r="483" spans="1:3">
      <c r="A483" t="s">
        <v>1036</v>
      </c>
      <c r="B483" t="s">
        <v>1037</v>
      </c>
      <c r="C483" t="s">
        <v>367</v>
      </c>
    </row>
    <row r="484" spans="1:3">
      <c r="A484" t="s">
        <v>1038</v>
      </c>
      <c r="B484" t="s">
        <v>708</v>
      </c>
      <c r="C484" t="s">
        <v>367</v>
      </c>
    </row>
    <row r="485" spans="1:3">
      <c r="A485" t="s">
        <v>1039</v>
      </c>
      <c r="B485" t="s">
        <v>709</v>
      </c>
      <c r="C485" t="s">
        <v>367</v>
      </c>
    </row>
    <row r="486" spans="1:3">
      <c r="A486" t="s">
        <v>1040</v>
      </c>
      <c r="B486" t="s">
        <v>1041</v>
      </c>
      <c r="C486" t="s">
        <v>367</v>
      </c>
    </row>
    <row r="487" spans="1:3">
      <c r="A487" t="s">
        <v>1042</v>
      </c>
      <c r="B487" t="s">
        <v>1043</v>
      </c>
      <c r="C487" t="s">
        <v>367</v>
      </c>
    </row>
    <row r="488" spans="1:3">
      <c r="A488" t="s">
        <v>99</v>
      </c>
      <c r="B488" t="s">
        <v>1044</v>
      </c>
      <c r="C488" t="s">
        <v>367</v>
      </c>
    </row>
    <row r="489" spans="1:3">
      <c r="A489" t="s">
        <v>1045</v>
      </c>
      <c r="B489" t="s">
        <v>1046</v>
      </c>
      <c r="C489" t="s">
        <v>367</v>
      </c>
    </row>
    <row r="490" spans="1:3">
      <c r="A490" t="s">
        <v>1047</v>
      </c>
      <c r="B490" t="s">
        <v>1048</v>
      </c>
      <c r="C490" t="s">
        <v>367</v>
      </c>
    </row>
    <row r="491" spans="1:3">
      <c r="A491" t="s">
        <v>237</v>
      </c>
      <c r="B491" t="s">
        <v>1026</v>
      </c>
      <c r="C491" t="s">
        <v>367</v>
      </c>
    </row>
    <row r="492" spans="1:3">
      <c r="A492" t="s">
        <v>1049</v>
      </c>
      <c r="B492" t="s">
        <v>1050</v>
      </c>
      <c r="C492" t="s">
        <v>367</v>
      </c>
    </row>
    <row r="493" spans="1:3">
      <c r="A493" t="s">
        <v>1051</v>
      </c>
      <c r="B493" t="s">
        <v>1052</v>
      </c>
      <c r="C493" t="s">
        <v>367</v>
      </c>
    </row>
    <row r="494" spans="1:3">
      <c r="A494" t="s">
        <v>347</v>
      </c>
      <c r="B494" t="s">
        <v>1035</v>
      </c>
      <c r="C494" t="s">
        <v>367</v>
      </c>
    </row>
    <row r="495" spans="1:3">
      <c r="A495" t="s">
        <v>345</v>
      </c>
      <c r="B495" t="s">
        <v>1037</v>
      </c>
      <c r="C495" t="s">
        <v>367</v>
      </c>
    </row>
    <row r="496" spans="1:3">
      <c r="A496" t="s">
        <v>1053</v>
      </c>
      <c r="B496" t="s">
        <v>1054</v>
      </c>
      <c r="C496" t="s">
        <v>367</v>
      </c>
    </row>
    <row r="497" spans="1:3">
      <c r="A497" t="s">
        <v>1055</v>
      </c>
      <c r="B497" t="s">
        <v>1056</v>
      </c>
      <c r="C497" t="s">
        <v>367</v>
      </c>
    </row>
    <row r="498" spans="1:3">
      <c r="A498" t="s">
        <v>1057</v>
      </c>
      <c r="B498" t="s">
        <v>1058</v>
      </c>
      <c r="C498" t="s">
        <v>367</v>
      </c>
    </row>
    <row r="499" spans="1:3">
      <c r="A499" t="s">
        <v>1059</v>
      </c>
      <c r="B499" t="s">
        <v>1060</v>
      </c>
      <c r="C499" t="s">
        <v>367</v>
      </c>
    </row>
    <row r="500" spans="1:3">
      <c r="A500" t="s">
        <v>1061</v>
      </c>
      <c r="B500" t="s">
        <v>1062</v>
      </c>
      <c r="C500" t="s">
        <v>367</v>
      </c>
    </row>
    <row r="501" spans="1:3">
      <c r="A501" t="s">
        <v>72</v>
      </c>
      <c r="B501" t="s">
        <v>1063</v>
      </c>
      <c r="C501" t="s">
        <v>367</v>
      </c>
    </row>
    <row r="502" spans="1:3">
      <c r="A502" t="s">
        <v>179</v>
      </c>
      <c r="B502" t="s">
        <v>1064</v>
      </c>
      <c r="C502" t="s">
        <v>367</v>
      </c>
    </row>
    <row r="503" spans="1:3">
      <c r="A503" t="s">
        <v>1065</v>
      </c>
      <c r="B503" t="s">
        <v>1066</v>
      </c>
      <c r="C503" t="s">
        <v>367</v>
      </c>
    </row>
    <row r="504" spans="1:3">
      <c r="A504" t="s">
        <v>110</v>
      </c>
      <c r="B504" t="s">
        <v>1067</v>
      </c>
      <c r="C504" t="s">
        <v>367</v>
      </c>
    </row>
    <row r="505" spans="1:3">
      <c r="A505" t="s">
        <v>1068</v>
      </c>
      <c r="B505" t="s">
        <v>1069</v>
      </c>
      <c r="C505" t="s">
        <v>367</v>
      </c>
    </row>
    <row r="506" spans="1:3">
      <c r="A506" t="s">
        <v>1070</v>
      </c>
      <c r="B506" t="s">
        <v>1071</v>
      </c>
      <c r="C506" t="s">
        <v>367</v>
      </c>
    </row>
    <row r="507" spans="1:3">
      <c r="A507" t="s">
        <v>108</v>
      </c>
      <c r="B507" t="s">
        <v>1072</v>
      </c>
      <c r="C507" t="s">
        <v>367</v>
      </c>
    </row>
    <row r="508" spans="1:3">
      <c r="A508" t="s">
        <v>1073</v>
      </c>
      <c r="B508" t="s">
        <v>1074</v>
      </c>
      <c r="C508" t="s">
        <v>367</v>
      </c>
    </row>
    <row r="509" spans="1:3">
      <c r="A509" t="s">
        <v>1075</v>
      </c>
      <c r="B509" t="s">
        <v>1076</v>
      </c>
      <c r="C509" t="s">
        <v>367</v>
      </c>
    </row>
    <row r="510" spans="1:3">
      <c r="A510" t="s">
        <v>1077</v>
      </c>
      <c r="B510" t="s">
        <v>1062</v>
      </c>
      <c r="C510" t="s">
        <v>367</v>
      </c>
    </row>
    <row r="511" spans="1:3">
      <c r="A511" t="s">
        <v>101</v>
      </c>
      <c r="B511" t="s">
        <v>1078</v>
      </c>
      <c r="C511" t="s">
        <v>367</v>
      </c>
    </row>
    <row r="512" spans="1:3">
      <c r="A512" t="s">
        <v>33</v>
      </c>
      <c r="B512" t="s">
        <v>1079</v>
      </c>
      <c r="C512" t="s">
        <v>367</v>
      </c>
    </row>
    <row r="513" spans="1:3">
      <c r="A513" t="s">
        <v>1080</v>
      </c>
      <c r="B513" t="s">
        <v>1081</v>
      </c>
      <c r="C513" t="s">
        <v>367</v>
      </c>
    </row>
    <row r="514" spans="1:3">
      <c r="A514" t="s">
        <v>34</v>
      </c>
      <c r="B514" t="s">
        <v>1082</v>
      </c>
      <c r="C514" t="s">
        <v>367</v>
      </c>
    </row>
    <row r="515" spans="1:3">
      <c r="A515" t="s">
        <v>1083</v>
      </c>
      <c r="B515" t="s">
        <v>1084</v>
      </c>
      <c r="C515" t="s">
        <v>367</v>
      </c>
    </row>
    <row r="516" spans="1:3">
      <c r="A516" t="s">
        <v>31</v>
      </c>
      <c r="B516" t="s">
        <v>1085</v>
      </c>
      <c r="C516" t="s">
        <v>367</v>
      </c>
    </row>
    <row r="517" spans="1:3">
      <c r="A517" t="s">
        <v>102</v>
      </c>
      <c r="B517" t="s">
        <v>1086</v>
      </c>
      <c r="C517" t="s">
        <v>367</v>
      </c>
    </row>
    <row r="518" spans="1:3">
      <c r="A518" t="s">
        <v>1087</v>
      </c>
      <c r="B518" t="s">
        <v>1088</v>
      </c>
      <c r="C518" t="s">
        <v>367</v>
      </c>
    </row>
    <row r="519" spans="1:3">
      <c r="A519" t="s">
        <v>32</v>
      </c>
      <c r="B519" t="s">
        <v>1089</v>
      </c>
      <c r="C519" t="s">
        <v>367</v>
      </c>
    </row>
    <row r="520" spans="1:3">
      <c r="A520" t="s">
        <v>105</v>
      </c>
      <c r="B520" t="s">
        <v>1090</v>
      </c>
      <c r="C520" t="s">
        <v>367</v>
      </c>
    </row>
    <row r="521" spans="1:3">
      <c r="A521" t="s">
        <v>1091</v>
      </c>
      <c r="B521" t="s">
        <v>1092</v>
      </c>
      <c r="C521" t="s">
        <v>367</v>
      </c>
    </row>
    <row r="522" spans="1:3">
      <c r="A522" t="s">
        <v>1093</v>
      </c>
      <c r="B522" t="s">
        <v>1094</v>
      </c>
      <c r="C522" t="s">
        <v>367</v>
      </c>
    </row>
    <row r="523" spans="1:3">
      <c r="A523" t="s">
        <v>1095</v>
      </c>
      <c r="B523" t="s">
        <v>1096</v>
      </c>
      <c r="C523" t="s">
        <v>367</v>
      </c>
    </row>
    <row r="524" spans="1:3">
      <c r="A524" t="s">
        <v>1097</v>
      </c>
      <c r="B524" t="s">
        <v>1098</v>
      </c>
      <c r="C524" t="s">
        <v>367</v>
      </c>
    </row>
    <row r="525" spans="1:3">
      <c r="A525" t="s">
        <v>1099</v>
      </c>
      <c r="B525" t="s">
        <v>1100</v>
      </c>
      <c r="C525" t="s">
        <v>367</v>
      </c>
    </row>
    <row r="526" spans="1:3">
      <c r="A526" t="s">
        <v>1101</v>
      </c>
      <c r="B526" t="s">
        <v>1098</v>
      </c>
      <c r="C526" t="s">
        <v>367</v>
      </c>
    </row>
    <row r="527" spans="1:3">
      <c r="A527" t="s">
        <v>1102</v>
      </c>
      <c r="B527" t="s">
        <v>1103</v>
      </c>
      <c r="C527" t="s">
        <v>367</v>
      </c>
    </row>
    <row r="528" spans="1:3">
      <c r="A528" t="s">
        <v>1104</v>
      </c>
      <c r="B528" t="s">
        <v>1105</v>
      </c>
      <c r="C528" t="s">
        <v>367</v>
      </c>
    </row>
    <row r="529" spans="1:3">
      <c r="A529" t="s">
        <v>113</v>
      </c>
      <c r="B529" t="s">
        <v>1106</v>
      </c>
      <c r="C529" t="s">
        <v>367</v>
      </c>
    </row>
    <row r="530" spans="1:3">
      <c r="A530" t="s">
        <v>1107</v>
      </c>
      <c r="B530" t="s">
        <v>1108</v>
      </c>
      <c r="C530" t="s">
        <v>367</v>
      </c>
    </row>
    <row r="531" spans="1:3">
      <c r="A531" t="s">
        <v>128</v>
      </c>
      <c r="B531" t="s">
        <v>1109</v>
      </c>
      <c r="C531" t="s">
        <v>367</v>
      </c>
    </row>
    <row r="532" spans="1:3">
      <c r="A532" t="s">
        <v>79</v>
      </c>
      <c r="B532" t="s">
        <v>1110</v>
      </c>
      <c r="C532" t="s">
        <v>367</v>
      </c>
    </row>
    <row r="533" spans="1:3">
      <c r="A533" t="s">
        <v>88</v>
      </c>
      <c r="B533" t="s">
        <v>1111</v>
      </c>
      <c r="C533" t="s">
        <v>367</v>
      </c>
    </row>
    <row r="534" spans="1:3">
      <c r="A534" t="s">
        <v>122</v>
      </c>
      <c r="B534" t="s">
        <v>1112</v>
      </c>
      <c r="C534" t="s">
        <v>367</v>
      </c>
    </row>
    <row r="535" spans="1:3">
      <c r="A535" t="s">
        <v>1113</v>
      </c>
      <c r="B535" t="s">
        <v>1114</v>
      </c>
      <c r="C535" t="s">
        <v>367</v>
      </c>
    </row>
    <row r="536" spans="1:3">
      <c r="A536" t="s">
        <v>125</v>
      </c>
      <c r="B536" t="s">
        <v>1115</v>
      </c>
      <c r="C536" t="s">
        <v>367</v>
      </c>
    </row>
    <row r="537" spans="1:3">
      <c r="A537" t="s">
        <v>1116</v>
      </c>
      <c r="B537" t="s">
        <v>1117</v>
      </c>
      <c r="C537" t="s">
        <v>367</v>
      </c>
    </row>
    <row r="538" spans="1:3">
      <c r="A538" t="s">
        <v>115</v>
      </c>
      <c r="B538" t="s">
        <v>1118</v>
      </c>
      <c r="C538" t="s">
        <v>367</v>
      </c>
    </row>
    <row r="539" spans="1:3">
      <c r="A539" t="s">
        <v>83</v>
      </c>
      <c r="B539" t="s">
        <v>1119</v>
      </c>
      <c r="C539" t="s">
        <v>367</v>
      </c>
    </row>
    <row r="540" spans="1:3">
      <c r="A540" t="s">
        <v>92</v>
      </c>
      <c r="B540" t="s">
        <v>1120</v>
      </c>
      <c r="C540" t="s">
        <v>367</v>
      </c>
    </row>
    <row r="541" spans="1:3">
      <c r="A541" t="s">
        <v>1121</v>
      </c>
      <c r="B541" t="s">
        <v>1122</v>
      </c>
      <c r="C541" t="s">
        <v>367</v>
      </c>
    </row>
    <row r="542" spans="1:3">
      <c r="A542" t="s">
        <v>9</v>
      </c>
      <c r="B542" t="s">
        <v>1123</v>
      </c>
      <c r="C542" t="s">
        <v>367</v>
      </c>
    </row>
    <row r="543" spans="1:3">
      <c r="A543" t="s">
        <v>66</v>
      </c>
      <c r="B543" t="s">
        <v>1124</v>
      </c>
      <c r="C543" t="s">
        <v>367</v>
      </c>
    </row>
    <row r="544" spans="1:3">
      <c r="A544" t="s">
        <v>1125</v>
      </c>
      <c r="B544" t="s">
        <v>1126</v>
      </c>
      <c r="C544" t="s">
        <v>367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售前选配单</vt:lpstr>
      <vt:lpstr>配置数据库</vt:lpstr>
      <vt:lpstr>对接设备</vt:lpstr>
      <vt:lpstr>英文翻译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ld</cp:lastModifiedBy>
  <dcterms:created xsi:type="dcterms:W3CDTF">2026-07-22T11:53:00Z</dcterms:created>
  <dcterms:modified xsi:type="dcterms:W3CDTF">2026-08-20T11:24:54Z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91AFCC2B9F6144C18E742EC77A045409_13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